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L Tuning Table" sheetId="1" state="visible" r:id="rId3"/>
    <sheet name="Legend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<sst xmlns="http://schemas.openxmlformats.org/spreadsheetml/2006/main" count="177" uniqueCount="139">
  <si>
    <t xml:space="preserve">BITAXE GAMMA 601 — PLL-BASED FREQUENCY TUNING TABLE</t>
  </si>
  <si>
    <t xml:space="preserve">Source: pll_table.h (ESP-Miner / mutatrum fork)  |  Chip: BM1370  |  Ref clock: 25 MHz  |  refdiv=2  |  Updated: 16 April 2026 (v4)</t>
  </si>
  <si>
    <t xml:space="preserve">STEP 1 — ENTER YOUR DEFAULT (STOCK) VALUES</t>
  </si>
  <si>
    <t xml:space="preserve">STEP 2 — CALCULATED FROM YOUR INPUTS (do not edit)</t>
  </si>
  <si>
    <t xml:space="preserve">STEP 3 — HOW TO READ THE TABLE BELOW</t>
  </si>
  <si>
    <t xml:space="preserve">Default Frequency</t>
  </si>
  <si>
    <t xml:space="preserve">MHz</t>
  </si>
  <si>
    <t xml:space="preserve">Enter the CONFIRMED PLL frequency from AxeOS (e.g. 762.500000)</t>
  </si>
  <si>
    <t xml:space="preserve">Hash / Clock Cycle</t>
  </si>
  <si>
    <t xml:space="preserve">Hash/cyc</t>
  </si>
  <si>
    <t xml:space="preserve">Hashrate (GH/s) ÷ Frequency (MHz) — your chip silicon quality figure</t>
  </si>
  <si>
    <t xml:space="preserve">1. Fill ALL green cells with your stock/default values from AxeOS</t>
  </si>
  <si>
    <t xml:space="preserve">Default 1hr Hashrate</t>
  </si>
  <si>
    <t xml:space="preserve">TH/s</t>
  </si>
  <si>
    <t xml:space="preserve">Use the 1h average from AxeOS hashrate display</t>
  </si>
  <si>
    <t xml:space="preserve">Capacitive Load</t>
  </si>
  <si>
    <t xml:space="preserve">W/MHz/V²</t>
  </si>
  <si>
    <t xml:space="preserve">Power ÷ (Freq × Voltage²) — used to project power at other frequencies</t>
  </si>
  <si>
    <t xml:space="preserve">2. Clean steps (762.5, 750.0 etc): type the short decimal — these are exactly representable in IEEE 754, what you type is what you get</t>
  </si>
  <si>
    <t xml:space="preserve">Default Vcore Voltage</t>
  </si>
  <si>
    <t xml:space="preserve">mV</t>
  </si>
  <si>
    <t xml:space="preserve">Core voltage set in AxeOS (e.g. 1230)</t>
  </si>
  <si>
    <t xml:space="preserve">PSU Efficiency</t>
  </si>
  <si>
    <t xml:space="preserve">ratio</t>
  </si>
  <si>
    <t xml:space="preserve">AxeOS watts ÷ mains watts. Leave mains at 0 to use default 0.81</t>
  </si>
  <si>
    <t xml:space="preserve">3. Fractional steps (758.333333 etc): use the full decimal from col A — AxeOS will report back with minor IEEE 754 rounding (e.g. 758.333333 → 758.333313). This is expected.</t>
  </si>
  <si>
    <t xml:space="preserve">Default Power (AxeOS)</t>
  </si>
  <si>
    <t xml:space="preserve">W</t>
  </si>
  <si>
    <t xml:space="preserve">Power reading shown in AxeOS dashboard</t>
  </si>
  <si>
    <t xml:space="preserve">Effective PSU Efficiency</t>
  </si>
  <si>
    <t xml:space="preserve">Used in wall power projections. Defaults to 0.81 if no mains reading provided</t>
  </si>
  <si>
    <t xml:space="preserve">4. BEGINNERS: Only use rows marked ✓ in column G (clean 6.25 MHz multiples) — these are the most reliable snap points and show no rounding</t>
  </si>
  <si>
    <t xml:space="preserve">Default Power at Mains</t>
  </si>
  <si>
    <t xml:space="preserve">Optional — from Tapo or wall meter. Leave 0 if unknown</t>
  </si>
  <si>
    <t xml:space="preserve">5. NEVER enter whole numbers (e.g. 762) — AxeOS echoes input unchanged and you have no certainty about your true operating point</t>
  </si>
  <si>
    <t xml:space="preserve">Default ASIC Temp</t>
  </si>
  <si>
    <t xml:space="preserve">°C</t>
  </si>
  <si>
    <t xml:space="preserve">ASIC temperature from AxeOS heat section</t>
  </si>
  <si>
    <t xml:space="preserve">6. After 15+ minutes stable, fill your observed readings into the ORANGE columns (L-P)</t>
  </si>
  <si>
    <t xml:space="preserve">Default VR Temp</t>
  </si>
  <si>
    <t xml:space="preserve">Voltage Regulator temperature from AxeOS heat section</t>
  </si>
  <si>
    <t xml:space="preserve">7. The GOLD highlighted row is the nearest valid PLL step to your entered frequency — updates automatically</t>
  </si>
  <si>
    <t xml:space="preserve">⚠  Projected values are estimates. Always trust your live dashboard.  |  Clean steps (x.0, x.5, x.25, x.75): short form fine (e.g. 762.5) — exactly representable in IEEE 754.  |  Fractional steps: use full decimal from col A (e.g. 758.333333) — minor IEEE 754 rounding expected.  |  GOLD = nearest valid PLL step  |  ✓ = clean 6.25 MHz multiple (recommended for all users)</t>
  </si>
  <si>
    <t xml:space="preserve">PLL Freq
(MHz)</t>
  </si>
  <si>
    <t xml:space="preserve">fb_div</t>
  </si>
  <si>
    <t xml:space="preserve">refdiv</t>
  </si>
  <si>
    <t xml:space="preserve">postdiv1</t>
  </si>
  <si>
    <t xml:space="preserve">postdiv2</t>
  </si>
  <si>
    <t xml:space="preserve">VCO Freq
(MHz)</t>
  </si>
  <si>
    <t xml:space="preserve">Clean
6.25x?</t>
  </si>
  <si>
    <t xml:space="preserve">Projected
Hashrate (TH/s)</t>
  </si>
  <si>
    <t xml:space="preserve">Projected
AxeOS Power (W)</t>
  </si>
  <si>
    <t xml:space="preserve">Projected
Wall Power (W)</t>
  </si>
  <si>
    <t xml:space="preserve">Projected
Efficiency (J/TH)</t>
  </si>
  <si>
    <t xml:space="preserve">OBSERVED
Hashrate (TH/s)</t>
  </si>
  <si>
    <t xml:space="preserve">OBSERVED
TAPO Power (W)</t>
  </si>
  <si>
    <t xml:space="preserve">OBSERVED
Error %</t>
  </si>
  <si>
    <t xml:space="preserve">OBSERVED
VR Temp (°C)</t>
  </si>
  <si>
    <t xml:space="preserve">OBSERVED
ASIC Temp (°C)</t>
  </si>
  <si>
    <t xml:space="preserve">Notes</t>
  </si>
  <si>
    <t xml:space="preserve">✓</t>
  </si>
  <si>
    <t xml:space="preserve">NerdQaxe++ operating point</t>
  </si>
  <si>
    <t xml:space="preserve">Tested 15 Apr — AxeOS returned 758.333313 (IEEE 754 rounding of repeating decimal — confirmed by k1, ESP-Miner contributor)</t>
  </si>
  <si>
    <t xml:space="preserve">CURRENT — confirmed 15 Apr 2026. Clean IEEE 754 step: 762.5 entered, 762.5 returned exactly.</t>
  </si>
  <si>
    <t xml:space="preserve">Tested 15 Apr — likely true step for '770 MHz' request. Power signature matched: 24.7W AxeOS / 31W TAPO</t>
  </si>
  <si>
    <t xml:space="preserve">BITAXE GAMMA 601 — LEGEND &amp; NOTES</t>
  </si>
  <si>
    <t xml:space="preserve">COLOUR CODING — INPUT SECTION</t>
  </si>
  <si>
    <t xml:space="preserve">Green cells (Step 1 inputs)</t>
  </si>
  <si>
    <t xml:space="preserve">YOUR values from AxeOS — fill these. All start at 0 so empty cells are obvious.</t>
  </si>
  <si>
    <t xml:space="preserve">Blue cells (Step 2 calculated)</t>
  </si>
  <si>
    <t xml:space="preserve">Auto-calculated from your inputs. Do not edit.</t>
  </si>
  <si>
    <t xml:space="preserve">COLOUR CODING — MAIN TABLE</t>
  </si>
  <si>
    <t xml:space="preserve">GOLD row (dynamic)</t>
  </si>
  <si>
    <t xml:space="preserve">Nearest valid PLL step to your entered frequency. Updates automatically when you change B5.</t>
  </si>
  <si>
    <t xml:space="preserve">Green column G (✓)</t>
  </si>
  <si>
    <t xml:space="preserve">Clean 6.25 MHz multiple — RECOMMENDED FOR ALL USERS. Most reliable snap point.</t>
  </si>
  <si>
    <t xml:space="preserve">Orange observed cells (L-P)</t>
  </si>
  <si>
    <t xml:space="preserve">Your observed readings — fill as you test each frequency.</t>
  </si>
  <si>
    <t xml:space="preserve">Orange VR temp (col O)</t>
  </si>
  <si>
    <t xml:space="preserve">VR temperature ≥ 60°C — approaching hard ceiling.</t>
  </si>
  <si>
    <t xml:space="preserve">Red VR temp (col O)</t>
  </si>
  <si>
    <t xml:space="preserve">VR temperature ≥ 63°C — action required immediately.</t>
  </si>
  <si>
    <t xml:space="preserve">Amber error % (col N)</t>
  </si>
  <si>
    <t xml:space="preserve">Error rate &gt; 5% — monitor closely.</t>
  </si>
  <si>
    <t xml:space="preserve">Red error % (col N)</t>
  </si>
  <si>
    <t xml:space="preserve">Error rate &gt; 10% — investigate voltage / frequency / thermals.</t>
  </si>
  <si>
    <t xml:space="preserve">BEGINNER GUIDANCE</t>
  </si>
  <si>
    <t xml:space="preserve">Which rows to use</t>
  </si>
  <si>
    <t xml:space="preserve">ONLY use rows marked ✓ in column G. These are clean 6.25 MHz multiples — 36 steps between 600-900 MHz. For these steps, just type the short decimal into AxeOS (e.g. 762.5 not 762.500000) — AxeOS will confirm back exactly.</t>
  </si>
  <si>
    <t xml:space="preserve">Why not other rows?</t>
  </si>
  <si>
    <t xml:space="preserve">Non-✓ rows are valid PLL steps mathematically but the firmware's internal snap logic may land somewhere else when you enter them as a whole number. You need to enter the exact decimal and confirm AxeOS reports it back to be certain.</t>
  </si>
  <si>
    <t xml:space="preserve">Advanced users</t>
  </si>
  <si>
    <t xml:space="preserve">Fractional steps (no ✓) can be used by entering the full decimal from column A (e.g. 758.333333). AxeOS will report back with minor floating point rounding (e.g. 758.333313) — this is expected and confirms you're on that step.</t>
  </si>
  <si>
    <t xml:space="preserve">HOW HASH/CLOCK CYCLE IS CALCULATED</t>
  </si>
  <si>
    <t xml:space="preserve">Formula</t>
  </si>
  <si>
    <t xml:space="preserve">Hash/clock cycle = (1hr Hashrate in GH/s) ÷ (Confirmed PLL Frequency in MHz)</t>
  </si>
  <si>
    <t xml:space="preserve">Example</t>
  </si>
  <si>
    <t xml:space="preserve">1556 GH/s ÷ 762.5 MHz = 2.040 hash/cycle</t>
  </si>
  <si>
    <t xml:space="preserve">Why it matters</t>
  </si>
  <si>
    <t xml:space="preserve">This is your chip's silicon quality number — unique to your BM1370. Varies chip to chip (silicon lottery).</t>
  </si>
  <si>
    <t xml:space="preserve">Decimal entry rule</t>
  </si>
  <si>
    <t xml:space="preserve">Clean steps (x.0, x.5, x.25, x.75): short form works fine — 762.5 = 762.500000 to the firmware. These are exactly representable in IEEE 754 binary floating point. Fractional steps (repeating decimals like 758.333333): use full decimal from column A. Minor rounding in AxeOS response is expected and confirmed — not an error.</t>
  </si>
  <si>
    <t xml:space="preserve">IEEE 754 &amp; ESP32-S3 — Community Confirmation (16 Apr 2026)</t>
  </si>
  <si>
    <t xml:space="preserve">Confirmed by</t>
  </si>
  <si>
    <t xml:space="preserve">k1 (ESP-Miner contributor) in OSMU Discord, 16 April 2026</t>
  </si>
  <si>
    <t xml:space="preserve">Float in ESP-Miner</t>
  </si>
  <si>
    <t xml:space="preserve">ESP-Miner uses IEEE 754 floating point arithmetic for PLL calculations and other metrics throughout the codebase.</t>
  </si>
  <si>
    <t xml:space="preserve">Why rounding happens</t>
  </si>
  <si>
    <t xml:space="preserve">IEEE 754 cannot represent repeating decimal fractions exactly in binary — just as 1/3 cannot be written exactly in base 10. Hence 758.333333 → 758.333313.</t>
  </si>
  <si>
    <t xml:space="preserve">PLL float — non-issue</t>
  </si>
  <si>
    <t xml:space="preserve">PLL calculation happens rarely (only on frequency change). SW float emulation produces identical results to hardware FPU — just slower. Not a problem in practice.</t>
  </si>
  <si>
    <t xml:space="preserve">Metrics concern</t>
  </si>
  <si>
    <t xml:space="preserve">Continuous metrics (hashrate, wattage, efficiency) calculated repeatedly may carry more meaningful float imprecision. Treat small differences (e.g. 24.4W vs 24.7W) as approximate.</t>
  </si>
  <si>
    <t xml:space="preserve">ESP32-S3 FPU</t>
  </si>
  <si>
    <t xml:space="preserve">The ESP32-S3 has a hardware FPU — unusual for an embedded chip. ESP32-C3, C6, and C5 do NOT. Current float approach is ESP32-S3 specific.</t>
  </si>
  <si>
    <t xml:space="preserve">Better approach</t>
  </si>
  <si>
    <t xml:space="preserve">Fixed point or rational arithmetic would be more precise and portable across the ESP32 family. A precomputed lookup table (mutatrum's pll_table.h) is the right direction.</t>
  </si>
  <si>
    <t xml:space="preserve">Source</t>
  </si>
  <si>
    <t xml:space="preserve">https://github.com/bitaxeorg/ESP-Miner/blob/master/components/asic/pll.c#L30-L32</t>
  </si>
  <si>
    <t xml:space="preserve">Historical 770 MHz request</t>
  </si>
  <si>
    <t xml:space="preserve">True step was likely 770.833 MHz — power signature matched (24.7W AxeOS / 31W TAPO). Note: 768.750 MHz does NOT exist in pll_table.h.</t>
  </si>
  <si>
    <t xml:space="preserve">761.1110229 MHz</t>
  </si>
  <si>
    <t xml:space="preserve">Does NOT appear in pll_table.h — origin unresolved. Do not use as a reference point.</t>
  </si>
  <si>
    <t xml:space="preserve">Wall power saving</t>
  </si>
  <si>
    <t xml:space="preserve">1W saved at wall moving from 770.833 to 762.500 MHz — identical hashrate and error behaviour</t>
  </si>
  <si>
    <t xml:space="preserve">GATE CONDITIONS FOR NEXT TESTS</t>
  </si>
  <si>
    <t xml:space="preserve">Before testing 1225 mV</t>
  </si>
  <si>
    <t xml:space="preserve">Giant Squid installed + 48-72hr stable at 762.500 MHz / 1230 mV</t>
  </si>
  <si>
    <t xml:space="preserve">Before testing 775.000 MHz</t>
  </si>
  <si>
    <t xml:space="preserve">Giant Squid installed — thermal headroom needed before pushing frequency higher</t>
  </si>
  <si>
    <t xml:space="preserve">VR hard ceiling</t>
  </si>
  <si>
    <t xml:space="preserve">60°C. At 63°C action required. Giant Squid expected to drop VR by 5-10°C.</t>
  </si>
  <si>
    <t xml:space="preserve">SOURCES</t>
  </si>
  <si>
    <t xml:space="preserve">pll_table.h</t>
  </si>
  <si>
    <t xml:space="preserve">https://github.com/mutatrum/ESP-Miner/blob/pll-table/components/asic/include/pll_table.h</t>
  </si>
  <si>
    <t xml:space="preserve">ESP-Miner Issue #1044</t>
  </si>
  <si>
    <t xml:space="preserve">https://github.com/bitaxeorg/ESP-Miner/issues/1044</t>
  </si>
  <si>
    <t xml:space="preserve">Knowledge base</t>
  </si>
  <si>
    <t xml:space="preserve">Sovereign Mining Stack — Unified Knowledge Base — Updated 15 April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</si>
</sst>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0000"/>
    <numFmt numFmtId="167" formatCode="0.0"/>
    <numFmt numFmtId="168" formatCode="0.000"/>
    <numFmt numFmtId="169" formatCode="0.00"/>
    <numFmt numFmtId="170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A5C1A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7B3F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7B3F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AAAAAA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A5C1A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FF0"/>
        <bgColor rgb="FFFFFFFF"/>
      </patternFill>
    </fill>
    <fill>
      <patternFill patternType="solid">
        <fgColor rgb="FFFFF3CD"/>
        <bgColor rgb="FFFFF2CC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E8F5E9"/>
      </patternFill>
    </fill>
    <fill>
      <patternFill patternType="solid">
        <fgColor rgb="FFFFF8E7"/>
        <bgColor rgb="FFFFFFF0"/>
      </patternFill>
    </fill>
    <fill>
      <patternFill patternType="solid">
        <fgColor rgb="FFFFFFFF"/>
        <bgColor rgb="FFFFFFF0"/>
      </patternFill>
    </fill>
    <fill>
      <patternFill patternType="solid">
        <fgColor rgb="FFFFD700"/>
        <bgColor rgb="FFFF9900"/>
      </patternFill>
    </fill>
    <fill>
      <patternFill patternType="solid">
        <fgColor rgb="FFFFE8CC"/>
        <bgColor rgb="FFFFF2CC"/>
      </patternFill>
    </fill>
    <fill>
      <patternFill patternType="solid">
        <fgColor rgb="FFFFB3B3"/>
        <bgColor rgb="FFCCCCCC"/>
      </patternFill>
    </fill>
    <fill>
      <patternFill patternType="solid">
        <fgColor rgb="FFFFF2CC"/>
        <bgColor rgb="FFFFF3CD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D700"/>
        </patternFill>
      </fill>
    </dxf>
    <dxf>
      <fill>
        <patternFill>
          <bgColor rgb="FFFFF2CC"/>
        </patternFill>
      </fill>
    </dxf>
    <dxf>
      <fill>
        <patternFill>
          <bgColor rgb="FFFFB3B3"/>
        </patternFill>
      </fill>
    </dxf>
    <dxf>
      <fill>
        <patternFill>
          <bgColor rgb="FFFFE8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7"/>
      <rgbColor rgb="FFFF00FF"/>
      <rgbColor rgb="FF00FFFF"/>
      <rgbColor rgb="FF800000"/>
      <rgbColor rgb="FF1A5C1A"/>
      <rgbColor rgb="FF00008B"/>
      <rgbColor rgb="FF808000"/>
      <rgbColor rgb="FF800080"/>
      <rgbColor rgb="FF008080"/>
      <rgbColor rgb="FFCCCCCC"/>
      <rgbColor rgb="FF777777"/>
      <rgbColor rgb="FF9999FF"/>
      <rgbColor rgb="FF993366"/>
      <rgbColor rgb="FFFFF3CD"/>
      <rgbColor rgb="FFE8F5E9"/>
      <rgbColor rgb="FF660066"/>
      <rgbColor rgb="FFFF8080"/>
      <rgbColor rgb="FF0066CC"/>
      <rgbColor rgb="FFF2F2F2"/>
      <rgbColor rgb="FF000080"/>
      <rgbColor rgb="FFFF00FF"/>
      <rgbColor rgb="FFFF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F7FBFF"/>
      <rgbColor rgb="FFFFE8CC"/>
      <rgbColor rgb="FFCC99FF"/>
      <rgbColor rgb="FFFFB3B3"/>
      <rgbColor rgb="FF2E75B6"/>
      <rgbColor rgb="FF33CCCC"/>
      <rgbColor rgb="FF99CC00"/>
      <rgbColor rgb="FFFFD7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7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10" min="8" style="1" width="14"/>
    <col collapsed="false" customWidth="true" hidden="false" outlineLevel="0" max="11" min="11" style="1" width="13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6" min="15" style="1" width="13"/>
    <col collapsed="false" customWidth="true" hidden="false" outlineLevel="0" max="17" min="17" style="1" width="2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C4" s="4"/>
      <c r="D4" s="4"/>
      <c r="E4" s="5" t="s">
        <v>3</v>
      </c>
      <c r="F4" s="5"/>
      <c r="G4" s="5"/>
      <c r="H4" s="5"/>
      <c r="I4" s="6" t="s">
        <v>4</v>
      </c>
      <c r="J4" s="6"/>
      <c r="K4" s="6"/>
      <c r="L4" s="6"/>
      <c r="M4" s="6"/>
      <c r="N4" s="6"/>
      <c r="O4" s="6"/>
      <c r="P4" s="6"/>
      <c r="Q4" s="6"/>
    </row>
    <row r="5" customFormat="false" ht="18" hidden="false" customHeight="true" outlineLevel="0" collapsed="false">
      <c r="A5" s="7" t="s">
        <v>5</v>
      </c>
      <c r="B5" s="8" t="n">
        <v>0</v>
      </c>
      <c r="C5" s="9" t="s">
        <v>6</v>
      </c>
      <c r="D5" s="10" t="s">
        <v>7</v>
      </c>
      <c r="E5" s="7" t="s">
        <v>8</v>
      </c>
      <c r="F5" s="11" t="str">
        <f aca="false">IFERROR(IF(B5=0,"Enter freq above",(B6*1000)/B5),"—")</f>
        <v>Enter freq above</v>
      </c>
      <c r="G5" s="9" t="s">
        <v>9</v>
      </c>
      <c r="H5" s="10" t="s">
        <v>10</v>
      </c>
      <c r="I5" s="12" t="s">
        <v>11</v>
      </c>
      <c r="J5" s="12"/>
      <c r="K5" s="12"/>
      <c r="L5" s="12"/>
      <c r="M5" s="12"/>
      <c r="N5" s="12"/>
      <c r="O5" s="12"/>
      <c r="P5" s="12"/>
      <c r="Q5" s="12"/>
    </row>
    <row r="6" customFormat="false" ht="18" hidden="false" customHeight="true" outlineLevel="0" collapsed="false">
      <c r="A6" s="7" t="s">
        <v>12</v>
      </c>
      <c r="B6" s="8" t="n">
        <v>0</v>
      </c>
      <c r="C6" s="9" t="s">
        <v>13</v>
      </c>
      <c r="D6" s="10" t="s">
        <v>14</v>
      </c>
      <c r="E6" s="7" t="s">
        <v>15</v>
      </c>
      <c r="F6" s="11" t="str">
        <f aca="false">IFERROR(IF(OR(B5=0,B7=0,B8=0),"Enter values above",B8/(B5*(B7/1000)^2)),"—")</f>
        <v>Enter values above</v>
      </c>
      <c r="G6" s="9" t="s">
        <v>16</v>
      </c>
      <c r="H6" s="10" t="s">
        <v>17</v>
      </c>
      <c r="I6" s="12" t="s">
        <v>18</v>
      </c>
      <c r="J6" s="12"/>
      <c r="K6" s="12"/>
      <c r="L6" s="12"/>
      <c r="M6" s="12"/>
      <c r="N6" s="12"/>
      <c r="O6" s="12"/>
      <c r="P6" s="12"/>
      <c r="Q6" s="12"/>
    </row>
    <row r="7" customFormat="false" ht="18" hidden="false" customHeight="true" outlineLevel="0" collapsed="false">
      <c r="A7" s="7" t="s">
        <v>19</v>
      </c>
      <c r="B7" s="8" t="n">
        <v>0</v>
      </c>
      <c r="C7" s="9" t="s">
        <v>20</v>
      </c>
      <c r="D7" s="10" t="s">
        <v>21</v>
      </c>
      <c r="E7" s="7" t="s">
        <v>22</v>
      </c>
      <c r="F7" s="11" t="str">
        <f aca="false">IFERROR(IF(OR(B8=0,B9=0),"Enter mains W above",B8/B9),"—")</f>
        <v>Enter mains W above</v>
      </c>
      <c r="G7" s="9" t="s">
        <v>23</v>
      </c>
      <c r="H7" s="10" t="s">
        <v>24</v>
      </c>
      <c r="I7" s="12" t="s">
        <v>25</v>
      </c>
      <c r="J7" s="12"/>
      <c r="K7" s="12"/>
      <c r="L7" s="12"/>
      <c r="M7" s="12"/>
      <c r="N7" s="12"/>
      <c r="O7" s="12"/>
      <c r="P7" s="12"/>
      <c r="Q7" s="12"/>
    </row>
    <row r="8" customFormat="false" ht="18" hidden="false" customHeight="true" outlineLevel="0" collapsed="false">
      <c r="A8" s="7" t="s">
        <v>26</v>
      </c>
      <c r="B8" s="8" t="n">
        <v>0</v>
      </c>
      <c r="C8" s="9" t="s">
        <v>27</v>
      </c>
      <c r="D8" s="10" t="s">
        <v>28</v>
      </c>
      <c r="E8" s="7" t="s">
        <v>29</v>
      </c>
      <c r="F8" s="11" t="n">
        <f aca="false">IFERROR(IF(OR(B8=0,B9=0),0.81,B8/B9),0.81)</f>
        <v>0.81</v>
      </c>
      <c r="G8" s="9" t="s">
        <v>23</v>
      </c>
      <c r="H8" s="10" t="s">
        <v>30</v>
      </c>
      <c r="I8" s="13" t="s">
        <v>31</v>
      </c>
      <c r="J8" s="13"/>
      <c r="K8" s="13"/>
      <c r="L8" s="13"/>
      <c r="M8" s="13"/>
      <c r="N8" s="13"/>
      <c r="O8" s="13"/>
      <c r="P8" s="13"/>
      <c r="Q8" s="13"/>
    </row>
    <row r="9" customFormat="false" ht="18" hidden="false" customHeight="true" outlineLevel="0" collapsed="false">
      <c r="A9" s="7" t="s">
        <v>32</v>
      </c>
      <c r="B9" s="8" t="n">
        <v>0</v>
      </c>
      <c r="C9" s="9" t="s">
        <v>27</v>
      </c>
      <c r="D9" s="10" t="s">
        <v>33</v>
      </c>
      <c r="I9" s="12" t="s">
        <v>34</v>
      </c>
      <c r="J9" s="12"/>
      <c r="K9" s="12"/>
      <c r="L9" s="12"/>
      <c r="M9" s="12"/>
      <c r="N9" s="12"/>
      <c r="O9" s="12"/>
      <c r="P9" s="12"/>
      <c r="Q9" s="12"/>
    </row>
    <row r="10" customFormat="false" ht="18" hidden="false" customHeight="true" outlineLevel="0" collapsed="false">
      <c r="A10" s="7" t="s">
        <v>35</v>
      </c>
      <c r="B10" s="8" t="n">
        <v>0</v>
      </c>
      <c r="C10" s="9" t="s">
        <v>36</v>
      </c>
      <c r="D10" s="10" t="s">
        <v>37</v>
      </c>
      <c r="I10" s="12" t="s">
        <v>38</v>
      </c>
      <c r="J10" s="12"/>
      <c r="K10" s="12"/>
      <c r="L10" s="12"/>
      <c r="M10" s="12"/>
      <c r="N10" s="12"/>
      <c r="O10" s="12"/>
      <c r="P10" s="12"/>
      <c r="Q10" s="12"/>
    </row>
    <row r="11" customFormat="false" ht="18" hidden="false" customHeight="true" outlineLevel="0" collapsed="false">
      <c r="A11" s="7" t="s">
        <v>39</v>
      </c>
      <c r="B11" s="8" t="n">
        <v>0</v>
      </c>
      <c r="C11" s="9" t="s">
        <v>36</v>
      </c>
      <c r="D11" s="10" t="s">
        <v>40</v>
      </c>
      <c r="I11" s="12" t="s">
        <v>41</v>
      </c>
      <c r="J11" s="12"/>
      <c r="K11" s="12"/>
      <c r="L11" s="12"/>
      <c r="M11" s="12"/>
      <c r="N11" s="12"/>
      <c r="O11" s="12"/>
      <c r="P11" s="12"/>
      <c r="Q11" s="12"/>
    </row>
    <row r="12" customFormat="false" ht="6" hidden="false" customHeight="true" outlineLevel="0" collapsed="false"/>
    <row r="13" customFormat="false" ht="18" hidden="false" customHeight="true" outlineLevel="0" collapsed="false">
      <c r="A13" s="14" t="s">
        <v>42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customFormat="false" ht="3.75" hidden="false" customHeight="true" outlineLevel="0" collapsed="false"/>
    <row r="15" customFormat="false" ht="33.75" hidden="false" customHeight="true" outlineLevel="0" collapsed="false">
      <c r="A15" s="15" t="s">
        <v>43</v>
      </c>
      <c r="B15" s="15" t="s">
        <v>44</v>
      </c>
      <c r="C15" s="15" t="s">
        <v>45</v>
      </c>
      <c r="D15" s="15" t="s">
        <v>46</v>
      </c>
      <c r="E15" s="15" t="s">
        <v>47</v>
      </c>
      <c r="F15" s="15" t="s">
        <v>48</v>
      </c>
      <c r="G15" s="15" t="s">
        <v>49</v>
      </c>
      <c r="H15" s="15" t="s">
        <v>50</v>
      </c>
      <c r="I15" s="15" t="s">
        <v>51</v>
      </c>
      <c r="J15" s="15" t="s">
        <v>52</v>
      </c>
      <c r="K15" s="15" t="s">
        <v>53</v>
      </c>
      <c r="L15" s="15" t="s">
        <v>54</v>
      </c>
      <c r="M15" s="15" t="s">
        <v>55</v>
      </c>
      <c r="N15" s="15" t="s">
        <v>56</v>
      </c>
      <c r="O15" s="15" t="s">
        <v>57</v>
      </c>
      <c r="P15" s="15" t="s">
        <v>58</v>
      </c>
      <c r="Q15" s="15" t="s">
        <v>59</v>
      </c>
    </row>
    <row r="16" customFormat="false" ht="15" hidden="false" customHeight="true" outlineLevel="0" collapsed="false">
      <c r="A16" s="16" t="n">
        <v>600</v>
      </c>
      <c r="B16" s="17" t="n">
        <v>144</v>
      </c>
      <c r="C16" s="17" t="n">
        <v>2</v>
      </c>
      <c r="D16" s="17" t="n">
        <v>3</v>
      </c>
      <c r="E16" s="17" t="n">
        <v>1</v>
      </c>
      <c r="F16" s="18" t="n">
        <v>1800</v>
      </c>
      <c r="G16" s="19" t="s">
        <v>60</v>
      </c>
      <c r="H16" s="20" t="str">
        <f aca="false">IFERROR(IF($F$5=0,"",ROUND(A16*$F$5/1000,3)),"")</f>
        <v/>
      </c>
      <c r="I16" s="18" t="str">
        <f aca="false">IFERROR(IF($F$6=0,"",ROUND($F$6*A16*($B$7/1000)^2,1)),"")</f>
        <v/>
      </c>
      <c r="J16" s="18" t="str">
        <f aca="false">IFERROR(IF(I16="","",ROUND(I16/$F$8,1)),"")</f>
        <v/>
      </c>
      <c r="K16" s="21" t="str">
        <f aca="false">IFERROR(IF(OR(H16="",I16=""),"",ROUND(I16/H16,2)),"")</f>
        <v/>
      </c>
      <c r="L16" s="22"/>
      <c r="M16" s="23"/>
      <c r="N16" s="24"/>
      <c r="O16" s="23"/>
      <c r="P16" s="23"/>
      <c r="Q16" s="25" t="s">
        <v>61</v>
      </c>
    </row>
    <row r="17" customFormat="false" ht="15" hidden="false" customHeight="true" outlineLevel="0" collapsed="false">
      <c r="A17" s="26" t="n">
        <v>603.125</v>
      </c>
      <c r="B17" s="27" t="n">
        <v>193</v>
      </c>
      <c r="C17" s="27" t="n">
        <v>2</v>
      </c>
      <c r="D17" s="27" t="n">
        <v>2</v>
      </c>
      <c r="E17" s="27" t="n">
        <v>2</v>
      </c>
      <c r="F17" s="28" t="n">
        <v>2412.5</v>
      </c>
      <c r="G17" s="29"/>
      <c r="H17" s="30" t="str">
        <f aca="false">IFERROR(IF($F$5=0,"",ROUND(A17*$F$5/1000,3)),"")</f>
        <v/>
      </c>
      <c r="I17" s="28" t="str">
        <f aca="false">IFERROR(IF($F$6=0,"",ROUND($F$6*A17*($B$7/1000)^2,1)),"")</f>
        <v/>
      </c>
      <c r="J17" s="28" t="str">
        <f aca="false">IFERROR(IF(I17="","",ROUND(I17/$F$8,1)),"")</f>
        <v/>
      </c>
      <c r="K17" s="31" t="str">
        <f aca="false">IFERROR(IF(OR(H17="",I17=""),"",ROUND(I17/H17,2)),"")</f>
        <v/>
      </c>
      <c r="L17" s="22"/>
      <c r="M17" s="23"/>
      <c r="N17" s="24"/>
      <c r="O17" s="23"/>
      <c r="P17" s="23"/>
      <c r="Q17" s="32"/>
    </row>
    <row r="18" customFormat="false" ht="15" hidden="false" customHeight="true" outlineLevel="0" collapsed="false">
      <c r="A18" s="16" t="n">
        <v>604.166667</v>
      </c>
      <c r="B18" s="17" t="n">
        <v>145</v>
      </c>
      <c r="C18" s="17" t="n">
        <v>2</v>
      </c>
      <c r="D18" s="17" t="n">
        <v>3</v>
      </c>
      <c r="E18" s="17" t="n">
        <v>1</v>
      </c>
      <c r="F18" s="18" t="n">
        <v>1812.5</v>
      </c>
      <c r="G18" s="33"/>
      <c r="H18" s="20" t="str">
        <f aca="false">IFERROR(IF($F$5=0,"",ROUND(A18*$F$5/1000,3)),"")</f>
        <v/>
      </c>
      <c r="I18" s="18" t="str">
        <f aca="false">IFERROR(IF($F$6=0,"",ROUND($F$6*A18*($B$7/1000)^2,1)),"")</f>
        <v/>
      </c>
      <c r="J18" s="18" t="str">
        <f aca="false">IFERROR(IF(I18="","",ROUND(I18/$F$8,1)),"")</f>
        <v/>
      </c>
      <c r="K18" s="21" t="str">
        <f aca="false">IFERROR(IF(OR(H18="",I18=""),"",ROUND(I18/H18,2)),"")</f>
        <v/>
      </c>
      <c r="L18" s="22"/>
      <c r="M18" s="23"/>
      <c r="N18" s="24"/>
      <c r="O18" s="23"/>
      <c r="P18" s="23"/>
      <c r="Q18" s="25"/>
    </row>
    <row r="19" customFormat="false" ht="15" hidden="false" customHeight="true" outlineLevel="0" collapsed="false">
      <c r="A19" s="26" t="n">
        <v>606.25</v>
      </c>
      <c r="B19" s="27" t="n">
        <v>194</v>
      </c>
      <c r="C19" s="27" t="n">
        <v>2</v>
      </c>
      <c r="D19" s="27" t="n">
        <v>2</v>
      </c>
      <c r="E19" s="27" t="n">
        <v>2</v>
      </c>
      <c r="F19" s="28" t="n">
        <v>2425</v>
      </c>
      <c r="G19" s="19" t="s">
        <v>60</v>
      </c>
      <c r="H19" s="30" t="str">
        <f aca="false">IFERROR(IF($F$5=0,"",ROUND(A19*$F$5/1000,3)),"")</f>
        <v/>
      </c>
      <c r="I19" s="28" t="str">
        <f aca="false">IFERROR(IF($F$6=0,"",ROUND($F$6*A19*($B$7/1000)^2,1)),"")</f>
        <v/>
      </c>
      <c r="J19" s="28" t="str">
        <f aca="false">IFERROR(IF(I19="","",ROUND(I19/$F$8,1)),"")</f>
        <v/>
      </c>
      <c r="K19" s="31" t="str">
        <f aca="false">IFERROR(IF(OR(H19="",I19=""),"",ROUND(I19/H19,2)),"")</f>
        <v/>
      </c>
      <c r="L19" s="22"/>
      <c r="M19" s="23"/>
      <c r="N19" s="24"/>
      <c r="O19" s="23"/>
      <c r="P19" s="23"/>
      <c r="Q19" s="32"/>
    </row>
    <row r="20" customFormat="false" ht="15" hidden="false" customHeight="true" outlineLevel="0" collapsed="false">
      <c r="A20" s="16" t="n">
        <v>608.333333</v>
      </c>
      <c r="B20" s="17" t="n">
        <v>146</v>
      </c>
      <c r="C20" s="17" t="n">
        <v>2</v>
      </c>
      <c r="D20" s="17" t="n">
        <v>3</v>
      </c>
      <c r="E20" s="17" t="n">
        <v>1</v>
      </c>
      <c r="F20" s="18" t="n">
        <v>1825</v>
      </c>
      <c r="G20" s="33"/>
      <c r="H20" s="20" t="str">
        <f aca="false">IFERROR(IF($F$5=0,"",ROUND(A20*$F$5/1000,3)),"")</f>
        <v/>
      </c>
      <c r="I20" s="18" t="str">
        <f aca="false">IFERROR(IF($F$6=0,"",ROUND($F$6*A20*($B$7/1000)^2,1)),"")</f>
        <v/>
      </c>
      <c r="J20" s="18" t="str">
        <f aca="false">IFERROR(IF(I20="","",ROUND(I20/$F$8,1)),"")</f>
        <v/>
      </c>
      <c r="K20" s="21" t="str">
        <f aca="false">IFERROR(IF(OR(H20="",I20=""),"",ROUND(I20/H20,2)),"")</f>
        <v/>
      </c>
      <c r="L20" s="22"/>
      <c r="M20" s="23"/>
      <c r="N20" s="24"/>
      <c r="O20" s="23"/>
      <c r="P20" s="23"/>
      <c r="Q20" s="25"/>
    </row>
    <row r="21" customFormat="false" ht="15" hidden="false" customHeight="true" outlineLevel="0" collapsed="false">
      <c r="A21" s="26" t="n">
        <v>609.375</v>
      </c>
      <c r="B21" s="27" t="n">
        <v>195</v>
      </c>
      <c r="C21" s="27" t="n">
        <v>2</v>
      </c>
      <c r="D21" s="27" t="n">
        <v>2</v>
      </c>
      <c r="E21" s="27" t="n">
        <v>2</v>
      </c>
      <c r="F21" s="28" t="n">
        <v>2437.5</v>
      </c>
      <c r="G21" s="29"/>
      <c r="H21" s="30" t="str">
        <f aca="false">IFERROR(IF($F$5=0,"",ROUND(A21*$F$5/1000,3)),"")</f>
        <v/>
      </c>
      <c r="I21" s="28" t="str">
        <f aca="false">IFERROR(IF($F$6=0,"",ROUND($F$6*A21*($B$7/1000)^2,1)),"")</f>
        <v/>
      </c>
      <c r="J21" s="28" t="str">
        <f aca="false">IFERROR(IF(I21="","",ROUND(I21/$F$8,1)),"")</f>
        <v/>
      </c>
      <c r="K21" s="31" t="str">
        <f aca="false">IFERROR(IF(OR(H21="",I21=""),"",ROUND(I21/H21,2)),"")</f>
        <v/>
      </c>
      <c r="L21" s="22"/>
      <c r="M21" s="23"/>
      <c r="N21" s="24"/>
      <c r="O21" s="23"/>
      <c r="P21" s="23"/>
      <c r="Q21" s="32"/>
    </row>
    <row r="22" customFormat="false" ht="15" hidden="false" customHeight="true" outlineLevel="0" collapsed="false">
      <c r="A22" s="16" t="n">
        <v>612.5</v>
      </c>
      <c r="B22" s="17" t="n">
        <v>147</v>
      </c>
      <c r="C22" s="17" t="n">
        <v>2</v>
      </c>
      <c r="D22" s="17" t="n">
        <v>3</v>
      </c>
      <c r="E22" s="17" t="n">
        <v>1</v>
      </c>
      <c r="F22" s="18" t="n">
        <v>1837.5</v>
      </c>
      <c r="G22" s="19" t="s">
        <v>60</v>
      </c>
      <c r="H22" s="20" t="str">
        <f aca="false">IFERROR(IF($F$5=0,"",ROUND(A22*$F$5/1000,3)),"")</f>
        <v/>
      </c>
      <c r="I22" s="18" t="str">
        <f aca="false">IFERROR(IF($F$6=0,"",ROUND($F$6*A22*($B$7/1000)^2,1)),"")</f>
        <v/>
      </c>
      <c r="J22" s="18" t="str">
        <f aca="false">IFERROR(IF(I22="","",ROUND(I22/$F$8,1)),"")</f>
        <v/>
      </c>
      <c r="K22" s="21" t="str">
        <f aca="false">IFERROR(IF(OR(H22="",I22=""),"",ROUND(I22/H22,2)),"")</f>
        <v/>
      </c>
      <c r="L22" s="22"/>
      <c r="M22" s="23"/>
      <c r="N22" s="24"/>
      <c r="O22" s="23"/>
      <c r="P22" s="23"/>
      <c r="Q22" s="25"/>
    </row>
    <row r="23" customFormat="false" ht="15" hidden="false" customHeight="true" outlineLevel="0" collapsed="false">
      <c r="A23" s="26" t="n">
        <v>615.625</v>
      </c>
      <c r="B23" s="27" t="n">
        <v>197</v>
      </c>
      <c r="C23" s="27" t="n">
        <v>2</v>
      </c>
      <c r="D23" s="27" t="n">
        <v>2</v>
      </c>
      <c r="E23" s="27" t="n">
        <v>2</v>
      </c>
      <c r="F23" s="28" t="n">
        <v>2462.5</v>
      </c>
      <c r="G23" s="29"/>
      <c r="H23" s="30" t="str">
        <f aca="false">IFERROR(IF($F$5=0,"",ROUND(A23*$F$5/1000,3)),"")</f>
        <v/>
      </c>
      <c r="I23" s="28" t="str">
        <f aca="false">IFERROR(IF($F$6=0,"",ROUND($F$6*A23*($B$7/1000)^2,1)),"")</f>
        <v/>
      </c>
      <c r="J23" s="28" t="str">
        <f aca="false">IFERROR(IF(I23="","",ROUND(I23/$F$8,1)),"")</f>
        <v/>
      </c>
      <c r="K23" s="31" t="str">
        <f aca="false">IFERROR(IF(OR(H23="",I23=""),"",ROUND(I23/H23,2)),"")</f>
        <v/>
      </c>
      <c r="L23" s="22"/>
      <c r="M23" s="23"/>
      <c r="N23" s="24"/>
      <c r="O23" s="23"/>
      <c r="P23" s="23"/>
      <c r="Q23" s="32"/>
    </row>
    <row r="24" customFormat="false" ht="15" hidden="false" customHeight="true" outlineLevel="0" collapsed="false">
      <c r="A24" s="16" t="n">
        <v>616.666667</v>
      </c>
      <c r="B24" s="17" t="n">
        <v>148</v>
      </c>
      <c r="C24" s="17" t="n">
        <v>2</v>
      </c>
      <c r="D24" s="17" t="n">
        <v>3</v>
      </c>
      <c r="E24" s="17" t="n">
        <v>1</v>
      </c>
      <c r="F24" s="18" t="n">
        <v>1850</v>
      </c>
      <c r="G24" s="33"/>
      <c r="H24" s="20" t="str">
        <f aca="false">IFERROR(IF($F$5=0,"",ROUND(A24*$F$5/1000,3)),"")</f>
        <v/>
      </c>
      <c r="I24" s="18" t="str">
        <f aca="false">IFERROR(IF($F$6=0,"",ROUND($F$6*A24*($B$7/1000)^2,1)),"")</f>
        <v/>
      </c>
      <c r="J24" s="18" t="str">
        <f aca="false">IFERROR(IF(I24="","",ROUND(I24/$F$8,1)),"")</f>
        <v/>
      </c>
      <c r="K24" s="21" t="str">
        <f aca="false">IFERROR(IF(OR(H24="",I24=""),"",ROUND(I24/H24,2)),"")</f>
        <v/>
      </c>
      <c r="L24" s="22"/>
      <c r="M24" s="23"/>
      <c r="N24" s="24"/>
      <c r="O24" s="23"/>
      <c r="P24" s="23"/>
      <c r="Q24" s="25"/>
    </row>
    <row r="25" customFormat="false" ht="15" hidden="false" customHeight="true" outlineLevel="0" collapsed="false">
      <c r="A25" s="26" t="n">
        <v>618.75</v>
      </c>
      <c r="B25" s="27" t="n">
        <v>198</v>
      </c>
      <c r="C25" s="27" t="n">
        <v>2</v>
      </c>
      <c r="D25" s="27" t="n">
        <v>2</v>
      </c>
      <c r="E25" s="27" t="n">
        <v>2</v>
      </c>
      <c r="F25" s="28" t="n">
        <v>2475</v>
      </c>
      <c r="G25" s="19" t="s">
        <v>60</v>
      </c>
      <c r="H25" s="30" t="str">
        <f aca="false">IFERROR(IF($F$5=0,"",ROUND(A25*$F$5/1000,3)),"")</f>
        <v/>
      </c>
      <c r="I25" s="28" t="str">
        <f aca="false">IFERROR(IF($F$6=0,"",ROUND($F$6*A25*($B$7/1000)^2,1)),"")</f>
        <v/>
      </c>
      <c r="J25" s="28" t="str">
        <f aca="false">IFERROR(IF(I25="","",ROUND(I25/$F$8,1)),"")</f>
        <v/>
      </c>
      <c r="K25" s="31" t="str">
        <f aca="false">IFERROR(IF(OR(H25="",I25=""),"",ROUND(I25/H25,2)),"")</f>
        <v/>
      </c>
      <c r="L25" s="22"/>
      <c r="M25" s="23"/>
      <c r="N25" s="24"/>
      <c r="O25" s="23"/>
      <c r="P25" s="23"/>
      <c r="Q25" s="32"/>
    </row>
    <row r="26" customFormat="false" ht="15" hidden="false" customHeight="true" outlineLevel="0" collapsed="false">
      <c r="A26" s="16" t="n">
        <v>620.833333</v>
      </c>
      <c r="B26" s="17" t="n">
        <v>149</v>
      </c>
      <c r="C26" s="17" t="n">
        <v>2</v>
      </c>
      <c r="D26" s="17" t="n">
        <v>3</v>
      </c>
      <c r="E26" s="17" t="n">
        <v>1</v>
      </c>
      <c r="F26" s="18" t="n">
        <v>1862.5</v>
      </c>
      <c r="G26" s="33"/>
      <c r="H26" s="20" t="str">
        <f aca="false">IFERROR(IF($F$5=0,"",ROUND(A26*$F$5/1000,3)),"")</f>
        <v/>
      </c>
      <c r="I26" s="18" t="str">
        <f aca="false">IFERROR(IF($F$6=0,"",ROUND($F$6*A26*($B$7/1000)^2,1)),"")</f>
        <v/>
      </c>
      <c r="J26" s="18" t="str">
        <f aca="false">IFERROR(IF(I26="","",ROUND(I26/$F$8,1)),"")</f>
        <v/>
      </c>
      <c r="K26" s="21" t="str">
        <f aca="false">IFERROR(IF(OR(H26="",I26=""),"",ROUND(I26/H26,2)),"")</f>
        <v/>
      </c>
      <c r="L26" s="22"/>
      <c r="M26" s="23"/>
      <c r="N26" s="24"/>
      <c r="O26" s="23"/>
      <c r="P26" s="23"/>
      <c r="Q26" s="25"/>
    </row>
    <row r="27" customFormat="false" ht="15" hidden="false" customHeight="true" outlineLevel="0" collapsed="false">
      <c r="A27" s="26" t="n">
        <v>621.875</v>
      </c>
      <c r="B27" s="27" t="n">
        <v>199</v>
      </c>
      <c r="C27" s="27" t="n">
        <v>2</v>
      </c>
      <c r="D27" s="27" t="n">
        <v>2</v>
      </c>
      <c r="E27" s="27" t="n">
        <v>2</v>
      </c>
      <c r="F27" s="28" t="n">
        <v>2487.5</v>
      </c>
      <c r="G27" s="29"/>
      <c r="H27" s="30" t="str">
        <f aca="false">IFERROR(IF($F$5=0,"",ROUND(A27*$F$5/1000,3)),"")</f>
        <v/>
      </c>
      <c r="I27" s="28" t="str">
        <f aca="false">IFERROR(IF($F$6=0,"",ROUND($F$6*A27*($B$7/1000)^2,1)),"")</f>
        <v/>
      </c>
      <c r="J27" s="28" t="str">
        <f aca="false">IFERROR(IF(I27="","",ROUND(I27/$F$8,1)),"")</f>
        <v/>
      </c>
      <c r="K27" s="31" t="str">
        <f aca="false">IFERROR(IF(OR(H27="",I27=""),"",ROUND(I27/H27,2)),"")</f>
        <v/>
      </c>
      <c r="L27" s="22"/>
      <c r="M27" s="23"/>
      <c r="N27" s="24"/>
      <c r="O27" s="23"/>
      <c r="P27" s="23"/>
      <c r="Q27" s="32"/>
    </row>
    <row r="28" customFormat="false" ht="15" hidden="false" customHeight="true" outlineLevel="0" collapsed="false">
      <c r="A28" s="16" t="n">
        <v>625</v>
      </c>
      <c r="B28" s="17" t="n">
        <v>150</v>
      </c>
      <c r="C28" s="17" t="n">
        <v>2</v>
      </c>
      <c r="D28" s="17" t="n">
        <v>3</v>
      </c>
      <c r="E28" s="17" t="n">
        <v>1</v>
      </c>
      <c r="F28" s="18" t="n">
        <v>1875</v>
      </c>
      <c r="G28" s="19" t="s">
        <v>60</v>
      </c>
      <c r="H28" s="20" t="str">
        <f aca="false">IFERROR(IF($F$5=0,"",ROUND(A28*$F$5/1000,3)),"")</f>
        <v/>
      </c>
      <c r="I28" s="18" t="str">
        <f aca="false">IFERROR(IF($F$6=0,"",ROUND($F$6*A28*($B$7/1000)^2,1)),"")</f>
        <v/>
      </c>
      <c r="J28" s="18" t="str">
        <f aca="false">IFERROR(IF(I28="","",ROUND(I28/$F$8,1)),"")</f>
        <v/>
      </c>
      <c r="K28" s="21" t="str">
        <f aca="false">IFERROR(IF(OR(H28="",I28=""),"",ROUND(I28/H28,2)),"")</f>
        <v/>
      </c>
      <c r="L28" s="22"/>
      <c r="M28" s="23"/>
      <c r="N28" s="24"/>
      <c r="O28" s="23"/>
      <c r="P28" s="23"/>
      <c r="Q28" s="25"/>
    </row>
    <row r="29" customFormat="false" ht="15" hidden="false" customHeight="true" outlineLevel="0" collapsed="false">
      <c r="A29" s="26" t="n">
        <v>628.125</v>
      </c>
      <c r="B29" s="27" t="n">
        <v>201</v>
      </c>
      <c r="C29" s="27" t="n">
        <v>2</v>
      </c>
      <c r="D29" s="27" t="n">
        <v>2</v>
      </c>
      <c r="E29" s="27" t="n">
        <v>2</v>
      </c>
      <c r="F29" s="28" t="n">
        <v>2512.5</v>
      </c>
      <c r="G29" s="29"/>
      <c r="H29" s="30" t="str">
        <f aca="false">IFERROR(IF($F$5=0,"",ROUND(A29*$F$5/1000,3)),"")</f>
        <v/>
      </c>
      <c r="I29" s="28" t="str">
        <f aca="false">IFERROR(IF($F$6=0,"",ROUND($F$6*A29*($B$7/1000)^2,1)),"")</f>
        <v/>
      </c>
      <c r="J29" s="28" t="str">
        <f aca="false">IFERROR(IF(I29="","",ROUND(I29/$F$8,1)),"")</f>
        <v/>
      </c>
      <c r="K29" s="31" t="str">
        <f aca="false">IFERROR(IF(OR(H29="",I29=""),"",ROUND(I29/H29,2)),"")</f>
        <v/>
      </c>
      <c r="L29" s="22"/>
      <c r="M29" s="23"/>
      <c r="N29" s="24"/>
      <c r="O29" s="23"/>
      <c r="P29" s="23"/>
      <c r="Q29" s="32"/>
    </row>
    <row r="30" customFormat="false" ht="15" hidden="false" customHeight="true" outlineLevel="0" collapsed="false">
      <c r="A30" s="16" t="n">
        <v>629.166667</v>
      </c>
      <c r="B30" s="17" t="n">
        <v>151</v>
      </c>
      <c r="C30" s="17" t="n">
        <v>2</v>
      </c>
      <c r="D30" s="17" t="n">
        <v>3</v>
      </c>
      <c r="E30" s="17" t="n">
        <v>1</v>
      </c>
      <c r="F30" s="18" t="n">
        <v>1887.5</v>
      </c>
      <c r="G30" s="33"/>
      <c r="H30" s="20" t="str">
        <f aca="false">IFERROR(IF($F$5=0,"",ROUND(A30*$F$5/1000,3)),"")</f>
        <v/>
      </c>
      <c r="I30" s="18" t="str">
        <f aca="false">IFERROR(IF($F$6=0,"",ROUND($F$6*A30*($B$7/1000)^2,1)),"")</f>
        <v/>
      </c>
      <c r="J30" s="18" t="str">
        <f aca="false">IFERROR(IF(I30="","",ROUND(I30/$F$8,1)),"")</f>
        <v/>
      </c>
      <c r="K30" s="21" t="str">
        <f aca="false">IFERROR(IF(OR(H30="",I30=""),"",ROUND(I30/H30,2)),"")</f>
        <v/>
      </c>
      <c r="L30" s="22"/>
      <c r="M30" s="23"/>
      <c r="N30" s="24"/>
      <c r="O30" s="23"/>
      <c r="P30" s="23"/>
      <c r="Q30" s="25"/>
    </row>
    <row r="31" customFormat="false" ht="15" hidden="false" customHeight="true" outlineLevel="0" collapsed="false">
      <c r="A31" s="26" t="n">
        <v>631.25</v>
      </c>
      <c r="B31" s="27" t="n">
        <v>202</v>
      </c>
      <c r="C31" s="27" t="n">
        <v>2</v>
      </c>
      <c r="D31" s="27" t="n">
        <v>2</v>
      </c>
      <c r="E31" s="27" t="n">
        <v>2</v>
      </c>
      <c r="F31" s="28" t="n">
        <v>2525</v>
      </c>
      <c r="G31" s="19" t="s">
        <v>60</v>
      </c>
      <c r="H31" s="30" t="str">
        <f aca="false">IFERROR(IF($F$5=0,"",ROUND(A31*$F$5/1000,3)),"")</f>
        <v/>
      </c>
      <c r="I31" s="28" t="str">
        <f aca="false">IFERROR(IF($F$6=0,"",ROUND($F$6*A31*($B$7/1000)^2,1)),"")</f>
        <v/>
      </c>
      <c r="J31" s="28" t="str">
        <f aca="false">IFERROR(IF(I31="","",ROUND(I31/$F$8,1)),"")</f>
        <v/>
      </c>
      <c r="K31" s="31" t="str">
        <f aca="false">IFERROR(IF(OR(H31="",I31=""),"",ROUND(I31/H31,2)),"")</f>
        <v/>
      </c>
      <c r="L31" s="22"/>
      <c r="M31" s="23"/>
      <c r="N31" s="24"/>
      <c r="O31" s="23"/>
      <c r="P31" s="23"/>
      <c r="Q31" s="32"/>
    </row>
    <row r="32" customFormat="false" ht="15" hidden="false" customHeight="true" outlineLevel="0" collapsed="false">
      <c r="A32" s="16" t="n">
        <v>633.333333</v>
      </c>
      <c r="B32" s="17" t="n">
        <v>152</v>
      </c>
      <c r="C32" s="17" t="n">
        <v>2</v>
      </c>
      <c r="D32" s="17" t="n">
        <v>3</v>
      </c>
      <c r="E32" s="17" t="n">
        <v>1</v>
      </c>
      <c r="F32" s="18" t="n">
        <v>1900</v>
      </c>
      <c r="G32" s="33"/>
      <c r="H32" s="20" t="str">
        <f aca="false">IFERROR(IF($F$5=0,"",ROUND(A32*$F$5/1000,3)),"")</f>
        <v/>
      </c>
      <c r="I32" s="18" t="str">
        <f aca="false">IFERROR(IF($F$6=0,"",ROUND($F$6*A32*($B$7/1000)^2,1)),"")</f>
        <v/>
      </c>
      <c r="J32" s="18" t="str">
        <f aca="false">IFERROR(IF(I32="","",ROUND(I32/$F$8,1)),"")</f>
        <v/>
      </c>
      <c r="K32" s="21" t="str">
        <f aca="false">IFERROR(IF(OR(H32="",I32=""),"",ROUND(I32/H32,2)),"")</f>
        <v/>
      </c>
      <c r="L32" s="22"/>
      <c r="M32" s="23"/>
      <c r="N32" s="24"/>
      <c r="O32" s="23"/>
      <c r="P32" s="23"/>
      <c r="Q32" s="25"/>
    </row>
    <row r="33" customFormat="false" ht="15" hidden="false" customHeight="true" outlineLevel="0" collapsed="false">
      <c r="A33" s="26" t="n">
        <v>634.375</v>
      </c>
      <c r="B33" s="27" t="n">
        <v>203</v>
      </c>
      <c r="C33" s="27" t="n">
        <v>2</v>
      </c>
      <c r="D33" s="27" t="n">
        <v>2</v>
      </c>
      <c r="E33" s="27" t="n">
        <v>2</v>
      </c>
      <c r="F33" s="28" t="n">
        <v>2537.5</v>
      </c>
      <c r="G33" s="29"/>
      <c r="H33" s="30" t="str">
        <f aca="false">IFERROR(IF($F$5=0,"",ROUND(A33*$F$5/1000,3)),"")</f>
        <v/>
      </c>
      <c r="I33" s="28" t="str">
        <f aca="false">IFERROR(IF($F$6=0,"",ROUND($F$6*A33*($B$7/1000)^2,1)),"")</f>
        <v/>
      </c>
      <c r="J33" s="28" t="str">
        <f aca="false">IFERROR(IF(I33="","",ROUND(I33/$F$8,1)),"")</f>
        <v/>
      </c>
      <c r="K33" s="31" t="str">
        <f aca="false">IFERROR(IF(OR(H33="",I33=""),"",ROUND(I33/H33,2)),"")</f>
        <v/>
      </c>
      <c r="L33" s="22"/>
      <c r="M33" s="23"/>
      <c r="N33" s="24"/>
      <c r="O33" s="23"/>
      <c r="P33" s="23"/>
      <c r="Q33" s="32"/>
    </row>
    <row r="34" customFormat="false" ht="15" hidden="false" customHeight="true" outlineLevel="0" collapsed="false">
      <c r="A34" s="16" t="n">
        <v>637.5</v>
      </c>
      <c r="B34" s="17" t="n">
        <v>153</v>
      </c>
      <c r="C34" s="17" t="n">
        <v>2</v>
      </c>
      <c r="D34" s="17" t="n">
        <v>3</v>
      </c>
      <c r="E34" s="17" t="n">
        <v>1</v>
      </c>
      <c r="F34" s="18" t="n">
        <v>1912.5</v>
      </c>
      <c r="G34" s="19" t="s">
        <v>60</v>
      </c>
      <c r="H34" s="20" t="str">
        <f aca="false">IFERROR(IF($F$5=0,"",ROUND(A34*$F$5/1000,3)),"")</f>
        <v/>
      </c>
      <c r="I34" s="18" t="str">
        <f aca="false">IFERROR(IF($F$6=0,"",ROUND($F$6*A34*($B$7/1000)^2,1)),"")</f>
        <v/>
      </c>
      <c r="J34" s="18" t="str">
        <f aca="false">IFERROR(IF(I34="","",ROUND(I34/$F$8,1)),"")</f>
        <v/>
      </c>
      <c r="K34" s="21" t="str">
        <f aca="false">IFERROR(IF(OR(H34="",I34=""),"",ROUND(I34/H34,2)),"")</f>
        <v/>
      </c>
      <c r="L34" s="22"/>
      <c r="M34" s="23"/>
      <c r="N34" s="24"/>
      <c r="O34" s="23"/>
      <c r="P34" s="23"/>
      <c r="Q34" s="25"/>
    </row>
    <row r="35" customFormat="false" ht="15" hidden="false" customHeight="true" outlineLevel="0" collapsed="false">
      <c r="A35" s="26" t="n">
        <v>640.625</v>
      </c>
      <c r="B35" s="27" t="n">
        <v>205</v>
      </c>
      <c r="C35" s="27" t="n">
        <v>2</v>
      </c>
      <c r="D35" s="27" t="n">
        <v>2</v>
      </c>
      <c r="E35" s="27" t="n">
        <v>2</v>
      </c>
      <c r="F35" s="28" t="n">
        <v>2562.5</v>
      </c>
      <c r="G35" s="29"/>
      <c r="H35" s="30" t="str">
        <f aca="false">IFERROR(IF($F$5=0,"",ROUND(A35*$F$5/1000,3)),"")</f>
        <v/>
      </c>
      <c r="I35" s="28" t="str">
        <f aca="false">IFERROR(IF($F$6=0,"",ROUND($F$6*A35*($B$7/1000)^2,1)),"")</f>
        <v/>
      </c>
      <c r="J35" s="28" t="str">
        <f aca="false">IFERROR(IF(I35="","",ROUND(I35/$F$8,1)),"")</f>
        <v/>
      </c>
      <c r="K35" s="31" t="str">
        <f aca="false">IFERROR(IF(OR(H35="",I35=""),"",ROUND(I35/H35,2)),"")</f>
        <v/>
      </c>
      <c r="L35" s="22"/>
      <c r="M35" s="23"/>
      <c r="N35" s="24"/>
      <c r="O35" s="23"/>
      <c r="P35" s="23"/>
      <c r="Q35" s="32"/>
    </row>
    <row r="36" customFormat="false" ht="15" hidden="false" customHeight="true" outlineLevel="0" collapsed="false">
      <c r="A36" s="16" t="n">
        <v>641.666667</v>
      </c>
      <c r="B36" s="17" t="n">
        <v>154</v>
      </c>
      <c r="C36" s="17" t="n">
        <v>2</v>
      </c>
      <c r="D36" s="17" t="n">
        <v>3</v>
      </c>
      <c r="E36" s="17" t="n">
        <v>1</v>
      </c>
      <c r="F36" s="18" t="n">
        <v>1925</v>
      </c>
      <c r="G36" s="33"/>
      <c r="H36" s="20" t="str">
        <f aca="false">IFERROR(IF($F$5=0,"",ROUND(A36*$F$5/1000,3)),"")</f>
        <v/>
      </c>
      <c r="I36" s="18" t="str">
        <f aca="false">IFERROR(IF($F$6=0,"",ROUND($F$6*A36*($B$7/1000)^2,1)),"")</f>
        <v/>
      </c>
      <c r="J36" s="18" t="str">
        <f aca="false">IFERROR(IF(I36="","",ROUND(I36/$F$8,1)),"")</f>
        <v/>
      </c>
      <c r="K36" s="21" t="str">
        <f aca="false">IFERROR(IF(OR(H36="",I36=""),"",ROUND(I36/H36,2)),"")</f>
        <v/>
      </c>
      <c r="L36" s="22"/>
      <c r="M36" s="23"/>
      <c r="N36" s="24"/>
      <c r="O36" s="23"/>
      <c r="P36" s="23"/>
      <c r="Q36" s="25"/>
    </row>
    <row r="37" customFormat="false" ht="15" hidden="false" customHeight="true" outlineLevel="0" collapsed="false">
      <c r="A37" s="26" t="n">
        <v>643.75</v>
      </c>
      <c r="B37" s="27" t="n">
        <v>206</v>
      </c>
      <c r="C37" s="27" t="n">
        <v>2</v>
      </c>
      <c r="D37" s="27" t="n">
        <v>2</v>
      </c>
      <c r="E37" s="27" t="n">
        <v>2</v>
      </c>
      <c r="F37" s="28" t="n">
        <v>2575</v>
      </c>
      <c r="G37" s="19" t="s">
        <v>60</v>
      </c>
      <c r="H37" s="30" t="str">
        <f aca="false">IFERROR(IF($F$5=0,"",ROUND(A37*$F$5/1000,3)),"")</f>
        <v/>
      </c>
      <c r="I37" s="28" t="str">
        <f aca="false">IFERROR(IF($F$6=0,"",ROUND($F$6*A37*($B$7/1000)^2,1)),"")</f>
        <v/>
      </c>
      <c r="J37" s="28" t="str">
        <f aca="false">IFERROR(IF(I37="","",ROUND(I37/$F$8,1)),"")</f>
        <v/>
      </c>
      <c r="K37" s="31" t="str">
        <f aca="false">IFERROR(IF(OR(H37="",I37=""),"",ROUND(I37/H37,2)),"")</f>
        <v/>
      </c>
      <c r="L37" s="22"/>
      <c r="M37" s="23"/>
      <c r="N37" s="24"/>
      <c r="O37" s="23"/>
      <c r="P37" s="23"/>
      <c r="Q37" s="32"/>
    </row>
    <row r="38" customFormat="false" ht="15" hidden="false" customHeight="true" outlineLevel="0" collapsed="false">
      <c r="A38" s="16" t="n">
        <v>645.833333</v>
      </c>
      <c r="B38" s="17" t="n">
        <v>155</v>
      </c>
      <c r="C38" s="17" t="n">
        <v>2</v>
      </c>
      <c r="D38" s="17" t="n">
        <v>3</v>
      </c>
      <c r="E38" s="17" t="n">
        <v>1</v>
      </c>
      <c r="F38" s="18" t="n">
        <v>1937.5</v>
      </c>
      <c r="G38" s="33"/>
      <c r="H38" s="20" t="str">
        <f aca="false">IFERROR(IF($F$5=0,"",ROUND(A38*$F$5/1000,3)),"")</f>
        <v/>
      </c>
      <c r="I38" s="18" t="str">
        <f aca="false">IFERROR(IF($F$6=0,"",ROUND($F$6*A38*($B$7/1000)^2,1)),"")</f>
        <v/>
      </c>
      <c r="J38" s="18" t="str">
        <f aca="false">IFERROR(IF(I38="","",ROUND(I38/$F$8,1)),"")</f>
        <v/>
      </c>
      <c r="K38" s="21" t="str">
        <f aca="false">IFERROR(IF(OR(H38="",I38=""),"",ROUND(I38/H38,2)),"")</f>
        <v/>
      </c>
      <c r="L38" s="22"/>
      <c r="M38" s="23"/>
      <c r="N38" s="24"/>
      <c r="O38" s="23"/>
      <c r="P38" s="23"/>
      <c r="Q38" s="25"/>
    </row>
    <row r="39" customFormat="false" ht="15" hidden="false" customHeight="true" outlineLevel="0" collapsed="false">
      <c r="A39" s="26" t="n">
        <v>646.875</v>
      </c>
      <c r="B39" s="27" t="n">
        <v>207</v>
      </c>
      <c r="C39" s="27" t="n">
        <v>2</v>
      </c>
      <c r="D39" s="27" t="n">
        <v>2</v>
      </c>
      <c r="E39" s="27" t="n">
        <v>2</v>
      </c>
      <c r="F39" s="28" t="n">
        <v>2587.5</v>
      </c>
      <c r="G39" s="29"/>
      <c r="H39" s="30" t="str">
        <f aca="false">IFERROR(IF($F$5=0,"",ROUND(A39*$F$5/1000,3)),"")</f>
        <v/>
      </c>
      <c r="I39" s="28" t="str">
        <f aca="false">IFERROR(IF($F$6=0,"",ROUND($F$6*A39*($B$7/1000)^2,1)),"")</f>
        <v/>
      </c>
      <c r="J39" s="28" t="str">
        <f aca="false">IFERROR(IF(I39="","",ROUND(I39/$F$8,1)),"")</f>
        <v/>
      </c>
      <c r="K39" s="31" t="str">
        <f aca="false">IFERROR(IF(OR(H39="",I39=""),"",ROUND(I39/H39,2)),"")</f>
        <v/>
      </c>
      <c r="L39" s="22"/>
      <c r="M39" s="23"/>
      <c r="N39" s="24"/>
      <c r="O39" s="23"/>
      <c r="P39" s="23"/>
      <c r="Q39" s="32"/>
    </row>
    <row r="40" customFormat="false" ht="15" hidden="false" customHeight="true" outlineLevel="0" collapsed="false">
      <c r="A40" s="16" t="n">
        <v>650</v>
      </c>
      <c r="B40" s="17" t="n">
        <v>156</v>
      </c>
      <c r="C40" s="17" t="n">
        <v>2</v>
      </c>
      <c r="D40" s="17" t="n">
        <v>3</v>
      </c>
      <c r="E40" s="17" t="n">
        <v>1</v>
      </c>
      <c r="F40" s="18" t="n">
        <v>1950</v>
      </c>
      <c r="G40" s="19" t="s">
        <v>60</v>
      </c>
      <c r="H40" s="20" t="str">
        <f aca="false">IFERROR(IF($F$5=0,"",ROUND(A40*$F$5/1000,3)),"")</f>
        <v/>
      </c>
      <c r="I40" s="18" t="str">
        <f aca="false">IFERROR(IF($F$6=0,"",ROUND($F$6*A40*($B$7/1000)^2,1)),"")</f>
        <v/>
      </c>
      <c r="J40" s="18" t="str">
        <f aca="false">IFERROR(IF(I40="","",ROUND(I40/$F$8,1)),"")</f>
        <v/>
      </c>
      <c r="K40" s="21" t="str">
        <f aca="false">IFERROR(IF(OR(H40="",I40=""),"",ROUND(I40/H40,2)),"")</f>
        <v/>
      </c>
      <c r="L40" s="22"/>
      <c r="M40" s="23"/>
      <c r="N40" s="24"/>
      <c r="O40" s="23"/>
      <c r="P40" s="23"/>
      <c r="Q40" s="25"/>
    </row>
    <row r="41" customFormat="false" ht="15" hidden="false" customHeight="true" outlineLevel="0" collapsed="false">
      <c r="A41" s="26" t="n">
        <v>653.125</v>
      </c>
      <c r="B41" s="27" t="n">
        <v>209</v>
      </c>
      <c r="C41" s="27" t="n">
        <v>2</v>
      </c>
      <c r="D41" s="27" t="n">
        <v>2</v>
      </c>
      <c r="E41" s="27" t="n">
        <v>2</v>
      </c>
      <c r="F41" s="28" t="n">
        <v>2612.5</v>
      </c>
      <c r="G41" s="29"/>
      <c r="H41" s="30" t="str">
        <f aca="false">IFERROR(IF($F$5=0,"",ROUND(A41*$F$5/1000,3)),"")</f>
        <v/>
      </c>
      <c r="I41" s="28" t="str">
        <f aca="false">IFERROR(IF($F$6=0,"",ROUND($F$6*A41*($B$7/1000)^2,1)),"")</f>
        <v/>
      </c>
      <c r="J41" s="28" t="str">
        <f aca="false">IFERROR(IF(I41="","",ROUND(I41/$F$8,1)),"")</f>
        <v/>
      </c>
      <c r="K41" s="31" t="str">
        <f aca="false">IFERROR(IF(OR(H41="",I41=""),"",ROUND(I41/H41,2)),"")</f>
        <v/>
      </c>
      <c r="L41" s="22"/>
      <c r="M41" s="23"/>
      <c r="N41" s="24"/>
      <c r="O41" s="23"/>
      <c r="P41" s="23"/>
      <c r="Q41" s="32"/>
    </row>
    <row r="42" customFormat="false" ht="15" hidden="false" customHeight="true" outlineLevel="0" collapsed="false">
      <c r="A42" s="16" t="n">
        <v>654.166667</v>
      </c>
      <c r="B42" s="17" t="n">
        <v>157</v>
      </c>
      <c r="C42" s="17" t="n">
        <v>2</v>
      </c>
      <c r="D42" s="17" t="n">
        <v>3</v>
      </c>
      <c r="E42" s="17" t="n">
        <v>1</v>
      </c>
      <c r="F42" s="18" t="n">
        <v>1962.5</v>
      </c>
      <c r="G42" s="33"/>
      <c r="H42" s="20" t="str">
        <f aca="false">IFERROR(IF($F$5=0,"",ROUND(A42*$F$5/1000,3)),"")</f>
        <v/>
      </c>
      <c r="I42" s="18" t="str">
        <f aca="false">IFERROR(IF($F$6=0,"",ROUND($F$6*A42*($B$7/1000)^2,1)),"")</f>
        <v/>
      </c>
      <c r="J42" s="18" t="str">
        <f aca="false">IFERROR(IF(I42="","",ROUND(I42/$F$8,1)),"")</f>
        <v/>
      </c>
      <c r="K42" s="21" t="str">
        <f aca="false">IFERROR(IF(OR(H42="",I42=""),"",ROUND(I42/H42,2)),"")</f>
        <v/>
      </c>
      <c r="L42" s="22"/>
      <c r="M42" s="23"/>
      <c r="N42" s="24"/>
      <c r="O42" s="23"/>
      <c r="P42" s="23"/>
      <c r="Q42" s="25"/>
    </row>
    <row r="43" customFormat="false" ht="15" hidden="false" customHeight="true" outlineLevel="0" collapsed="false">
      <c r="A43" s="26" t="n">
        <v>656.25</v>
      </c>
      <c r="B43" s="27" t="n">
        <v>210</v>
      </c>
      <c r="C43" s="27" t="n">
        <v>2</v>
      </c>
      <c r="D43" s="27" t="n">
        <v>2</v>
      </c>
      <c r="E43" s="27" t="n">
        <v>2</v>
      </c>
      <c r="F43" s="28" t="n">
        <v>2625</v>
      </c>
      <c r="G43" s="19" t="s">
        <v>60</v>
      </c>
      <c r="H43" s="30" t="str">
        <f aca="false">IFERROR(IF($F$5=0,"",ROUND(A43*$F$5/1000,3)),"")</f>
        <v/>
      </c>
      <c r="I43" s="28" t="str">
        <f aca="false">IFERROR(IF($F$6=0,"",ROUND($F$6*A43*($B$7/1000)^2,1)),"")</f>
        <v/>
      </c>
      <c r="J43" s="28" t="str">
        <f aca="false">IFERROR(IF(I43="","",ROUND(I43/$F$8,1)),"")</f>
        <v/>
      </c>
      <c r="K43" s="31" t="str">
        <f aca="false">IFERROR(IF(OR(H43="",I43=""),"",ROUND(I43/H43,2)),"")</f>
        <v/>
      </c>
      <c r="L43" s="22"/>
      <c r="M43" s="23"/>
      <c r="N43" s="24"/>
      <c r="O43" s="23"/>
      <c r="P43" s="23"/>
      <c r="Q43" s="32"/>
    </row>
    <row r="44" customFormat="false" ht="15" hidden="false" customHeight="true" outlineLevel="0" collapsed="false">
      <c r="A44" s="16" t="n">
        <v>658.333333</v>
      </c>
      <c r="B44" s="17" t="n">
        <v>158</v>
      </c>
      <c r="C44" s="17" t="n">
        <v>2</v>
      </c>
      <c r="D44" s="17" t="n">
        <v>3</v>
      </c>
      <c r="E44" s="17" t="n">
        <v>1</v>
      </c>
      <c r="F44" s="18" t="n">
        <v>1975</v>
      </c>
      <c r="G44" s="33"/>
      <c r="H44" s="20" t="str">
        <f aca="false">IFERROR(IF($F$5=0,"",ROUND(A44*$F$5/1000,3)),"")</f>
        <v/>
      </c>
      <c r="I44" s="18" t="str">
        <f aca="false">IFERROR(IF($F$6=0,"",ROUND($F$6*A44*($B$7/1000)^2,1)),"")</f>
        <v/>
      </c>
      <c r="J44" s="18" t="str">
        <f aca="false">IFERROR(IF(I44="","",ROUND(I44/$F$8,1)),"")</f>
        <v/>
      </c>
      <c r="K44" s="21" t="str">
        <f aca="false">IFERROR(IF(OR(H44="",I44=""),"",ROUND(I44/H44,2)),"")</f>
        <v/>
      </c>
      <c r="L44" s="22"/>
      <c r="M44" s="23"/>
      <c r="N44" s="24"/>
      <c r="O44" s="23"/>
      <c r="P44" s="23"/>
      <c r="Q44" s="25"/>
    </row>
    <row r="45" customFormat="false" ht="15" hidden="false" customHeight="true" outlineLevel="0" collapsed="false">
      <c r="A45" s="26" t="n">
        <v>659.375</v>
      </c>
      <c r="B45" s="27" t="n">
        <v>211</v>
      </c>
      <c r="C45" s="27" t="n">
        <v>2</v>
      </c>
      <c r="D45" s="27" t="n">
        <v>2</v>
      </c>
      <c r="E45" s="27" t="n">
        <v>2</v>
      </c>
      <c r="F45" s="28" t="n">
        <v>2637.5</v>
      </c>
      <c r="G45" s="29"/>
      <c r="H45" s="30" t="str">
        <f aca="false">IFERROR(IF($F$5=0,"",ROUND(A45*$F$5/1000,3)),"")</f>
        <v/>
      </c>
      <c r="I45" s="28" t="str">
        <f aca="false">IFERROR(IF($F$6=0,"",ROUND($F$6*A45*($B$7/1000)^2,1)),"")</f>
        <v/>
      </c>
      <c r="J45" s="28" t="str">
        <f aca="false">IFERROR(IF(I45="","",ROUND(I45/$F$8,1)),"")</f>
        <v/>
      </c>
      <c r="K45" s="31" t="str">
        <f aca="false">IFERROR(IF(OR(H45="",I45=""),"",ROUND(I45/H45,2)),"")</f>
        <v/>
      </c>
      <c r="L45" s="22"/>
      <c r="M45" s="23"/>
      <c r="N45" s="24"/>
      <c r="O45" s="23"/>
      <c r="P45" s="23"/>
      <c r="Q45" s="32"/>
    </row>
    <row r="46" customFormat="false" ht="15" hidden="false" customHeight="true" outlineLevel="0" collapsed="false">
      <c r="A46" s="16" t="n">
        <v>662.5</v>
      </c>
      <c r="B46" s="17" t="n">
        <v>159</v>
      </c>
      <c r="C46" s="17" t="n">
        <v>2</v>
      </c>
      <c r="D46" s="17" t="n">
        <v>3</v>
      </c>
      <c r="E46" s="17" t="n">
        <v>1</v>
      </c>
      <c r="F46" s="18" t="n">
        <v>1987.5</v>
      </c>
      <c r="G46" s="19" t="s">
        <v>60</v>
      </c>
      <c r="H46" s="20" t="str">
        <f aca="false">IFERROR(IF($F$5=0,"",ROUND(A46*$F$5/1000,3)),"")</f>
        <v/>
      </c>
      <c r="I46" s="18" t="str">
        <f aca="false">IFERROR(IF($F$6=0,"",ROUND($F$6*A46*($B$7/1000)^2,1)),"")</f>
        <v/>
      </c>
      <c r="J46" s="18" t="str">
        <f aca="false">IFERROR(IF(I46="","",ROUND(I46/$F$8,1)),"")</f>
        <v/>
      </c>
      <c r="K46" s="21" t="str">
        <f aca="false">IFERROR(IF(OR(H46="",I46=""),"",ROUND(I46/H46,2)),"")</f>
        <v/>
      </c>
      <c r="L46" s="22"/>
      <c r="M46" s="23"/>
      <c r="N46" s="24"/>
      <c r="O46" s="23"/>
      <c r="P46" s="23"/>
      <c r="Q46" s="25"/>
    </row>
    <row r="47" customFormat="false" ht="15" hidden="false" customHeight="true" outlineLevel="0" collapsed="false">
      <c r="A47" s="26" t="n">
        <v>665.625</v>
      </c>
      <c r="B47" s="27" t="n">
        <v>213</v>
      </c>
      <c r="C47" s="27" t="n">
        <v>2</v>
      </c>
      <c r="D47" s="27" t="n">
        <v>2</v>
      </c>
      <c r="E47" s="27" t="n">
        <v>2</v>
      </c>
      <c r="F47" s="28" t="n">
        <v>2662.5</v>
      </c>
      <c r="G47" s="29"/>
      <c r="H47" s="30" t="str">
        <f aca="false">IFERROR(IF($F$5=0,"",ROUND(A47*$F$5/1000,3)),"")</f>
        <v/>
      </c>
      <c r="I47" s="28" t="str">
        <f aca="false">IFERROR(IF($F$6=0,"",ROUND($F$6*A47*($B$7/1000)^2,1)),"")</f>
        <v/>
      </c>
      <c r="J47" s="28" t="str">
        <f aca="false">IFERROR(IF(I47="","",ROUND(I47/$F$8,1)),"")</f>
        <v/>
      </c>
      <c r="K47" s="31" t="str">
        <f aca="false">IFERROR(IF(OR(H47="",I47=""),"",ROUND(I47/H47,2)),"")</f>
        <v/>
      </c>
      <c r="L47" s="22"/>
      <c r="M47" s="23"/>
      <c r="N47" s="24"/>
      <c r="O47" s="23"/>
      <c r="P47" s="23"/>
      <c r="Q47" s="32"/>
    </row>
    <row r="48" customFormat="false" ht="15" hidden="false" customHeight="true" outlineLevel="0" collapsed="false">
      <c r="A48" s="16" t="n">
        <v>666.666667</v>
      </c>
      <c r="B48" s="17" t="n">
        <v>160</v>
      </c>
      <c r="C48" s="17" t="n">
        <v>2</v>
      </c>
      <c r="D48" s="17" t="n">
        <v>3</v>
      </c>
      <c r="E48" s="17" t="n">
        <v>1</v>
      </c>
      <c r="F48" s="18" t="n">
        <v>2000</v>
      </c>
      <c r="G48" s="33"/>
      <c r="H48" s="20" t="str">
        <f aca="false">IFERROR(IF($F$5=0,"",ROUND(A48*$F$5/1000,3)),"")</f>
        <v/>
      </c>
      <c r="I48" s="18" t="str">
        <f aca="false">IFERROR(IF($F$6=0,"",ROUND($F$6*A48*($B$7/1000)^2,1)),"")</f>
        <v/>
      </c>
      <c r="J48" s="18" t="str">
        <f aca="false">IFERROR(IF(I48="","",ROUND(I48/$F$8,1)),"")</f>
        <v/>
      </c>
      <c r="K48" s="21" t="str">
        <f aca="false">IFERROR(IF(OR(H48="",I48=""),"",ROUND(I48/H48,2)),"")</f>
        <v/>
      </c>
      <c r="L48" s="22"/>
      <c r="M48" s="23"/>
      <c r="N48" s="24"/>
      <c r="O48" s="23"/>
      <c r="P48" s="23"/>
      <c r="Q48" s="25"/>
    </row>
    <row r="49" customFormat="false" ht="15" hidden="false" customHeight="true" outlineLevel="0" collapsed="false">
      <c r="A49" s="26" t="n">
        <v>668.75</v>
      </c>
      <c r="B49" s="27" t="n">
        <v>214</v>
      </c>
      <c r="C49" s="27" t="n">
        <v>2</v>
      </c>
      <c r="D49" s="27" t="n">
        <v>2</v>
      </c>
      <c r="E49" s="27" t="n">
        <v>2</v>
      </c>
      <c r="F49" s="28" t="n">
        <v>2675</v>
      </c>
      <c r="G49" s="19" t="s">
        <v>60</v>
      </c>
      <c r="H49" s="30" t="str">
        <f aca="false">IFERROR(IF($F$5=0,"",ROUND(A49*$F$5/1000,3)),"")</f>
        <v/>
      </c>
      <c r="I49" s="28" t="str">
        <f aca="false">IFERROR(IF($F$6=0,"",ROUND($F$6*A49*($B$7/1000)^2,1)),"")</f>
        <v/>
      </c>
      <c r="J49" s="28" t="str">
        <f aca="false">IFERROR(IF(I49="","",ROUND(I49/$F$8,1)),"")</f>
        <v/>
      </c>
      <c r="K49" s="31" t="str">
        <f aca="false">IFERROR(IF(OR(H49="",I49=""),"",ROUND(I49/H49,2)),"")</f>
        <v/>
      </c>
      <c r="L49" s="22"/>
      <c r="M49" s="23"/>
      <c r="N49" s="24"/>
      <c r="O49" s="23"/>
      <c r="P49" s="23"/>
      <c r="Q49" s="32"/>
    </row>
    <row r="50" customFormat="false" ht="15" hidden="false" customHeight="true" outlineLevel="0" collapsed="false">
      <c r="A50" s="16" t="n">
        <v>670.833333</v>
      </c>
      <c r="B50" s="17" t="n">
        <v>161</v>
      </c>
      <c r="C50" s="17" t="n">
        <v>2</v>
      </c>
      <c r="D50" s="17" t="n">
        <v>3</v>
      </c>
      <c r="E50" s="17" t="n">
        <v>1</v>
      </c>
      <c r="F50" s="18" t="n">
        <v>2012.5</v>
      </c>
      <c r="G50" s="33"/>
      <c r="H50" s="20" t="str">
        <f aca="false">IFERROR(IF($F$5=0,"",ROUND(A50*$F$5/1000,3)),"")</f>
        <v/>
      </c>
      <c r="I50" s="18" t="str">
        <f aca="false">IFERROR(IF($F$6=0,"",ROUND($F$6*A50*($B$7/1000)^2,1)),"")</f>
        <v/>
      </c>
      <c r="J50" s="18" t="str">
        <f aca="false">IFERROR(IF(I50="","",ROUND(I50/$F$8,1)),"")</f>
        <v/>
      </c>
      <c r="K50" s="21" t="str">
        <f aca="false">IFERROR(IF(OR(H50="",I50=""),"",ROUND(I50/H50,2)),"")</f>
        <v/>
      </c>
      <c r="L50" s="22"/>
      <c r="M50" s="23"/>
      <c r="N50" s="24"/>
      <c r="O50" s="23"/>
      <c r="P50" s="23"/>
      <c r="Q50" s="25"/>
    </row>
    <row r="51" customFormat="false" ht="15" hidden="false" customHeight="true" outlineLevel="0" collapsed="false">
      <c r="A51" s="26" t="n">
        <v>671.875</v>
      </c>
      <c r="B51" s="27" t="n">
        <v>215</v>
      </c>
      <c r="C51" s="27" t="n">
        <v>2</v>
      </c>
      <c r="D51" s="27" t="n">
        <v>2</v>
      </c>
      <c r="E51" s="27" t="n">
        <v>2</v>
      </c>
      <c r="F51" s="28" t="n">
        <v>2687.5</v>
      </c>
      <c r="G51" s="29"/>
      <c r="H51" s="30" t="str">
        <f aca="false">IFERROR(IF($F$5=0,"",ROUND(A51*$F$5/1000,3)),"")</f>
        <v/>
      </c>
      <c r="I51" s="28" t="str">
        <f aca="false">IFERROR(IF($F$6=0,"",ROUND($F$6*A51*($B$7/1000)^2,1)),"")</f>
        <v/>
      </c>
      <c r="J51" s="28" t="str">
        <f aca="false">IFERROR(IF(I51="","",ROUND(I51/$F$8,1)),"")</f>
        <v/>
      </c>
      <c r="K51" s="31" t="str">
        <f aca="false">IFERROR(IF(OR(H51="",I51=""),"",ROUND(I51/H51,2)),"")</f>
        <v/>
      </c>
      <c r="L51" s="22"/>
      <c r="M51" s="23"/>
      <c r="N51" s="24"/>
      <c r="O51" s="23"/>
      <c r="P51" s="23"/>
      <c r="Q51" s="32"/>
    </row>
    <row r="52" customFormat="false" ht="15" hidden="false" customHeight="true" outlineLevel="0" collapsed="false">
      <c r="A52" s="16" t="n">
        <v>675</v>
      </c>
      <c r="B52" s="17" t="n">
        <v>162</v>
      </c>
      <c r="C52" s="17" t="n">
        <v>2</v>
      </c>
      <c r="D52" s="17" t="n">
        <v>3</v>
      </c>
      <c r="E52" s="17" t="n">
        <v>1</v>
      </c>
      <c r="F52" s="18" t="n">
        <v>2025</v>
      </c>
      <c r="G52" s="19" t="s">
        <v>60</v>
      </c>
      <c r="H52" s="20" t="str">
        <f aca="false">IFERROR(IF($F$5=0,"",ROUND(A52*$F$5/1000,3)),"")</f>
        <v/>
      </c>
      <c r="I52" s="18" t="str">
        <f aca="false">IFERROR(IF($F$6=0,"",ROUND($F$6*A52*($B$7/1000)^2,1)),"")</f>
        <v/>
      </c>
      <c r="J52" s="18" t="str">
        <f aca="false">IFERROR(IF(I52="","",ROUND(I52/$F$8,1)),"")</f>
        <v/>
      </c>
      <c r="K52" s="21" t="str">
        <f aca="false">IFERROR(IF(OR(H52="",I52=""),"",ROUND(I52/H52,2)),"")</f>
        <v/>
      </c>
      <c r="L52" s="22"/>
      <c r="M52" s="23"/>
      <c r="N52" s="24"/>
      <c r="O52" s="23"/>
      <c r="P52" s="23"/>
      <c r="Q52" s="25"/>
    </row>
    <row r="53" customFormat="false" ht="15" hidden="false" customHeight="true" outlineLevel="0" collapsed="false">
      <c r="A53" s="26" t="n">
        <v>678.125</v>
      </c>
      <c r="B53" s="27" t="n">
        <v>217</v>
      </c>
      <c r="C53" s="27" t="n">
        <v>2</v>
      </c>
      <c r="D53" s="27" t="n">
        <v>2</v>
      </c>
      <c r="E53" s="27" t="n">
        <v>2</v>
      </c>
      <c r="F53" s="28" t="n">
        <v>2712.5</v>
      </c>
      <c r="G53" s="29"/>
      <c r="H53" s="30" t="str">
        <f aca="false">IFERROR(IF($F$5=0,"",ROUND(A53*$F$5/1000,3)),"")</f>
        <v/>
      </c>
      <c r="I53" s="28" t="str">
        <f aca="false">IFERROR(IF($F$6=0,"",ROUND($F$6*A53*($B$7/1000)^2,1)),"")</f>
        <v/>
      </c>
      <c r="J53" s="28" t="str">
        <f aca="false">IFERROR(IF(I53="","",ROUND(I53/$F$8,1)),"")</f>
        <v/>
      </c>
      <c r="K53" s="31" t="str">
        <f aca="false">IFERROR(IF(OR(H53="",I53=""),"",ROUND(I53/H53,2)),"")</f>
        <v/>
      </c>
      <c r="L53" s="22"/>
      <c r="M53" s="23"/>
      <c r="N53" s="24"/>
      <c r="O53" s="23"/>
      <c r="P53" s="23"/>
      <c r="Q53" s="32"/>
    </row>
    <row r="54" customFormat="false" ht="15" hidden="false" customHeight="true" outlineLevel="0" collapsed="false">
      <c r="A54" s="16" t="n">
        <v>679.166667</v>
      </c>
      <c r="B54" s="17" t="n">
        <v>163</v>
      </c>
      <c r="C54" s="17" t="n">
        <v>2</v>
      </c>
      <c r="D54" s="17" t="n">
        <v>3</v>
      </c>
      <c r="E54" s="17" t="n">
        <v>1</v>
      </c>
      <c r="F54" s="18" t="n">
        <v>2037.5</v>
      </c>
      <c r="G54" s="33"/>
      <c r="H54" s="20" t="str">
        <f aca="false">IFERROR(IF($F$5=0,"",ROUND(A54*$F$5/1000,3)),"")</f>
        <v/>
      </c>
      <c r="I54" s="18" t="str">
        <f aca="false">IFERROR(IF($F$6=0,"",ROUND($F$6*A54*($B$7/1000)^2,1)),"")</f>
        <v/>
      </c>
      <c r="J54" s="18" t="str">
        <f aca="false">IFERROR(IF(I54="","",ROUND(I54/$F$8,1)),"")</f>
        <v/>
      </c>
      <c r="K54" s="21" t="str">
        <f aca="false">IFERROR(IF(OR(H54="",I54=""),"",ROUND(I54/H54,2)),"")</f>
        <v/>
      </c>
      <c r="L54" s="22"/>
      <c r="M54" s="23"/>
      <c r="N54" s="24"/>
      <c r="O54" s="23"/>
      <c r="P54" s="23"/>
      <c r="Q54" s="25"/>
    </row>
    <row r="55" customFormat="false" ht="15" hidden="false" customHeight="true" outlineLevel="0" collapsed="false">
      <c r="A55" s="26" t="n">
        <v>681.25</v>
      </c>
      <c r="B55" s="27" t="n">
        <v>218</v>
      </c>
      <c r="C55" s="27" t="n">
        <v>2</v>
      </c>
      <c r="D55" s="27" t="n">
        <v>2</v>
      </c>
      <c r="E55" s="27" t="n">
        <v>2</v>
      </c>
      <c r="F55" s="28" t="n">
        <v>2725</v>
      </c>
      <c r="G55" s="19" t="s">
        <v>60</v>
      </c>
      <c r="H55" s="30" t="str">
        <f aca="false">IFERROR(IF($F$5=0,"",ROUND(A55*$F$5/1000,3)),"")</f>
        <v/>
      </c>
      <c r="I55" s="28" t="str">
        <f aca="false">IFERROR(IF($F$6=0,"",ROUND($F$6*A55*($B$7/1000)^2,1)),"")</f>
        <v/>
      </c>
      <c r="J55" s="28" t="str">
        <f aca="false">IFERROR(IF(I55="","",ROUND(I55/$F$8,1)),"")</f>
        <v/>
      </c>
      <c r="K55" s="31" t="str">
        <f aca="false">IFERROR(IF(OR(H55="",I55=""),"",ROUND(I55/H55,2)),"")</f>
        <v/>
      </c>
      <c r="L55" s="22"/>
      <c r="M55" s="23"/>
      <c r="N55" s="24"/>
      <c r="O55" s="23"/>
      <c r="P55" s="23"/>
      <c r="Q55" s="32"/>
    </row>
    <row r="56" customFormat="false" ht="15" hidden="false" customHeight="true" outlineLevel="0" collapsed="false">
      <c r="A56" s="16" t="n">
        <v>683.333333</v>
      </c>
      <c r="B56" s="17" t="n">
        <v>164</v>
      </c>
      <c r="C56" s="17" t="n">
        <v>2</v>
      </c>
      <c r="D56" s="17" t="n">
        <v>3</v>
      </c>
      <c r="E56" s="17" t="n">
        <v>1</v>
      </c>
      <c r="F56" s="18" t="n">
        <v>2050</v>
      </c>
      <c r="G56" s="33"/>
      <c r="H56" s="20" t="str">
        <f aca="false">IFERROR(IF($F$5=0,"",ROUND(A56*$F$5/1000,3)),"")</f>
        <v/>
      </c>
      <c r="I56" s="18" t="str">
        <f aca="false">IFERROR(IF($F$6=0,"",ROUND($F$6*A56*($B$7/1000)^2,1)),"")</f>
        <v/>
      </c>
      <c r="J56" s="18" t="str">
        <f aca="false">IFERROR(IF(I56="","",ROUND(I56/$F$8,1)),"")</f>
        <v/>
      </c>
      <c r="K56" s="21" t="str">
        <f aca="false">IFERROR(IF(OR(H56="",I56=""),"",ROUND(I56/H56,2)),"")</f>
        <v/>
      </c>
      <c r="L56" s="22"/>
      <c r="M56" s="23"/>
      <c r="N56" s="24"/>
      <c r="O56" s="23"/>
      <c r="P56" s="23"/>
      <c r="Q56" s="25"/>
    </row>
    <row r="57" customFormat="false" ht="15" hidden="false" customHeight="true" outlineLevel="0" collapsed="false">
      <c r="A57" s="26" t="n">
        <v>684.375</v>
      </c>
      <c r="B57" s="27" t="n">
        <v>219</v>
      </c>
      <c r="C57" s="27" t="n">
        <v>2</v>
      </c>
      <c r="D57" s="27" t="n">
        <v>2</v>
      </c>
      <c r="E57" s="27" t="n">
        <v>2</v>
      </c>
      <c r="F57" s="28" t="n">
        <v>2737.5</v>
      </c>
      <c r="G57" s="29"/>
      <c r="H57" s="30" t="str">
        <f aca="false">IFERROR(IF($F$5=0,"",ROUND(A57*$F$5/1000,3)),"")</f>
        <v/>
      </c>
      <c r="I57" s="28" t="str">
        <f aca="false">IFERROR(IF($F$6=0,"",ROUND($F$6*A57*($B$7/1000)^2,1)),"")</f>
        <v/>
      </c>
      <c r="J57" s="28" t="str">
        <f aca="false">IFERROR(IF(I57="","",ROUND(I57/$F$8,1)),"")</f>
        <v/>
      </c>
      <c r="K57" s="31" t="str">
        <f aca="false">IFERROR(IF(OR(H57="",I57=""),"",ROUND(I57/H57,2)),"")</f>
        <v/>
      </c>
      <c r="L57" s="22"/>
      <c r="M57" s="23"/>
      <c r="N57" s="24"/>
      <c r="O57" s="23"/>
      <c r="P57" s="23"/>
      <c r="Q57" s="32"/>
    </row>
    <row r="58" customFormat="false" ht="15" hidden="false" customHeight="true" outlineLevel="0" collapsed="false">
      <c r="A58" s="16" t="n">
        <v>687.5</v>
      </c>
      <c r="B58" s="17" t="n">
        <v>165</v>
      </c>
      <c r="C58" s="17" t="n">
        <v>2</v>
      </c>
      <c r="D58" s="17" t="n">
        <v>3</v>
      </c>
      <c r="E58" s="17" t="n">
        <v>1</v>
      </c>
      <c r="F58" s="18" t="n">
        <v>2062.5</v>
      </c>
      <c r="G58" s="19" t="s">
        <v>60</v>
      </c>
      <c r="H58" s="20" t="str">
        <f aca="false">IFERROR(IF($F$5=0,"",ROUND(A58*$F$5/1000,3)),"")</f>
        <v/>
      </c>
      <c r="I58" s="18" t="str">
        <f aca="false">IFERROR(IF($F$6=0,"",ROUND($F$6*A58*($B$7/1000)^2,1)),"")</f>
        <v/>
      </c>
      <c r="J58" s="18" t="str">
        <f aca="false">IFERROR(IF(I58="","",ROUND(I58/$F$8,1)),"")</f>
        <v/>
      </c>
      <c r="K58" s="21" t="str">
        <f aca="false">IFERROR(IF(OR(H58="",I58=""),"",ROUND(I58/H58,2)),"")</f>
        <v/>
      </c>
      <c r="L58" s="22"/>
      <c r="M58" s="23"/>
      <c r="N58" s="24"/>
      <c r="O58" s="23"/>
      <c r="P58" s="23"/>
      <c r="Q58" s="25"/>
    </row>
    <row r="59" customFormat="false" ht="15" hidden="false" customHeight="true" outlineLevel="0" collapsed="false">
      <c r="A59" s="26" t="n">
        <v>690.625</v>
      </c>
      <c r="B59" s="27" t="n">
        <v>221</v>
      </c>
      <c r="C59" s="27" t="n">
        <v>2</v>
      </c>
      <c r="D59" s="27" t="n">
        <v>2</v>
      </c>
      <c r="E59" s="27" t="n">
        <v>2</v>
      </c>
      <c r="F59" s="28" t="n">
        <v>2762.5</v>
      </c>
      <c r="G59" s="29"/>
      <c r="H59" s="30" t="str">
        <f aca="false">IFERROR(IF($F$5=0,"",ROUND(A59*$F$5/1000,3)),"")</f>
        <v/>
      </c>
      <c r="I59" s="28" t="str">
        <f aca="false">IFERROR(IF($F$6=0,"",ROUND($F$6*A59*($B$7/1000)^2,1)),"")</f>
        <v/>
      </c>
      <c r="J59" s="28" t="str">
        <f aca="false">IFERROR(IF(I59="","",ROUND(I59/$F$8,1)),"")</f>
        <v/>
      </c>
      <c r="K59" s="31" t="str">
        <f aca="false">IFERROR(IF(OR(H59="",I59=""),"",ROUND(I59/H59,2)),"")</f>
        <v/>
      </c>
      <c r="L59" s="22"/>
      <c r="M59" s="23"/>
      <c r="N59" s="24"/>
      <c r="O59" s="23"/>
      <c r="P59" s="23"/>
      <c r="Q59" s="32"/>
    </row>
    <row r="60" customFormat="false" ht="15" hidden="false" customHeight="true" outlineLevel="0" collapsed="false">
      <c r="A60" s="16" t="n">
        <v>691.666667</v>
      </c>
      <c r="B60" s="17" t="n">
        <v>166</v>
      </c>
      <c r="C60" s="17" t="n">
        <v>2</v>
      </c>
      <c r="D60" s="17" t="n">
        <v>3</v>
      </c>
      <c r="E60" s="17" t="n">
        <v>1</v>
      </c>
      <c r="F60" s="18" t="n">
        <v>2075</v>
      </c>
      <c r="G60" s="33"/>
      <c r="H60" s="20" t="str">
        <f aca="false">IFERROR(IF($F$5=0,"",ROUND(A60*$F$5/1000,3)),"")</f>
        <v/>
      </c>
      <c r="I60" s="18" t="str">
        <f aca="false">IFERROR(IF($F$6=0,"",ROUND($F$6*A60*($B$7/1000)^2,1)),"")</f>
        <v/>
      </c>
      <c r="J60" s="18" t="str">
        <f aca="false">IFERROR(IF(I60="","",ROUND(I60/$F$8,1)),"")</f>
        <v/>
      </c>
      <c r="K60" s="21" t="str">
        <f aca="false">IFERROR(IF(OR(H60="",I60=""),"",ROUND(I60/H60,2)),"")</f>
        <v/>
      </c>
      <c r="L60" s="22"/>
      <c r="M60" s="23"/>
      <c r="N60" s="24"/>
      <c r="O60" s="23"/>
      <c r="P60" s="23"/>
      <c r="Q60" s="25"/>
    </row>
    <row r="61" customFormat="false" ht="15" hidden="false" customHeight="true" outlineLevel="0" collapsed="false">
      <c r="A61" s="26" t="n">
        <v>693.75</v>
      </c>
      <c r="B61" s="27" t="n">
        <v>222</v>
      </c>
      <c r="C61" s="27" t="n">
        <v>2</v>
      </c>
      <c r="D61" s="27" t="n">
        <v>2</v>
      </c>
      <c r="E61" s="27" t="n">
        <v>2</v>
      </c>
      <c r="F61" s="28" t="n">
        <v>2775</v>
      </c>
      <c r="G61" s="19" t="s">
        <v>60</v>
      </c>
      <c r="H61" s="30" t="str">
        <f aca="false">IFERROR(IF($F$5=0,"",ROUND(A61*$F$5/1000,3)),"")</f>
        <v/>
      </c>
      <c r="I61" s="28" t="str">
        <f aca="false">IFERROR(IF($F$6=0,"",ROUND($F$6*A61*($B$7/1000)^2,1)),"")</f>
        <v/>
      </c>
      <c r="J61" s="28" t="str">
        <f aca="false">IFERROR(IF(I61="","",ROUND(I61/$F$8,1)),"")</f>
        <v/>
      </c>
      <c r="K61" s="31" t="str">
        <f aca="false">IFERROR(IF(OR(H61="",I61=""),"",ROUND(I61/H61,2)),"")</f>
        <v/>
      </c>
      <c r="L61" s="22"/>
      <c r="M61" s="23"/>
      <c r="N61" s="24"/>
      <c r="O61" s="23"/>
      <c r="P61" s="23"/>
      <c r="Q61" s="32"/>
    </row>
    <row r="62" customFormat="false" ht="15" hidden="false" customHeight="true" outlineLevel="0" collapsed="false">
      <c r="A62" s="16" t="n">
        <v>695.833333</v>
      </c>
      <c r="B62" s="17" t="n">
        <v>167</v>
      </c>
      <c r="C62" s="17" t="n">
        <v>2</v>
      </c>
      <c r="D62" s="17" t="n">
        <v>3</v>
      </c>
      <c r="E62" s="17" t="n">
        <v>1</v>
      </c>
      <c r="F62" s="18" t="n">
        <v>2087.5</v>
      </c>
      <c r="G62" s="33"/>
      <c r="H62" s="20" t="str">
        <f aca="false">IFERROR(IF($F$5=0,"",ROUND(A62*$F$5/1000,3)),"")</f>
        <v/>
      </c>
      <c r="I62" s="18" t="str">
        <f aca="false">IFERROR(IF($F$6=0,"",ROUND($F$6*A62*($B$7/1000)^2,1)),"")</f>
        <v/>
      </c>
      <c r="J62" s="18" t="str">
        <f aca="false">IFERROR(IF(I62="","",ROUND(I62/$F$8,1)),"")</f>
        <v/>
      </c>
      <c r="K62" s="21" t="str">
        <f aca="false">IFERROR(IF(OR(H62="",I62=""),"",ROUND(I62/H62,2)),"")</f>
        <v/>
      </c>
      <c r="L62" s="22"/>
      <c r="M62" s="23"/>
      <c r="N62" s="24"/>
      <c r="O62" s="23"/>
      <c r="P62" s="23"/>
      <c r="Q62" s="25"/>
    </row>
    <row r="63" customFormat="false" ht="15" hidden="false" customHeight="true" outlineLevel="0" collapsed="false">
      <c r="A63" s="26" t="n">
        <v>696.875</v>
      </c>
      <c r="B63" s="27" t="n">
        <v>223</v>
      </c>
      <c r="C63" s="27" t="n">
        <v>2</v>
      </c>
      <c r="D63" s="27" t="n">
        <v>2</v>
      </c>
      <c r="E63" s="27" t="n">
        <v>2</v>
      </c>
      <c r="F63" s="28" t="n">
        <v>2787.5</v>
      </c>
      <c r="G63" s="29"/>
      <c r="H63" s="30" t="str">
        <f aca="false">IFERROR(IF($F$5=0,"",ROUND(A63*$F$5/1000,3)),"")</f>
        <v/>
      </c>
      <c r="I63" s="28" t="str">
        <f aca="false">IFERROR(IF($F$6=0,"",ROUND($F$6*A63*($B$7/1000)^2,1)),"")</f>
        <v/>
      </c>
      <c r="J63" s="28" t="str">
        <f aca="false">IFERROR(IF(I63="","",ROUND(I63/$F$8,1)),"")</f>
        <v/>
      </c>
      <c r="K63" s="31" t="str">
        <f aca="false">IFERROR(IF(OR(H63="",I63=""),"",ROUND(I63/H63,2)),"")</f>
        <v/>
      </c>
      <c r="L63" s="22"/>
      <c r="M63" s="23"/>
      <c r="N63" s="24"/>
      <c r="O63" s="23"/>
      <c r="P63" s="23"/>
      <c r="Q63" s="32"/>
    </row>
    <row r="64" customFormat="false" ht="15" hidden="false" customHeight="true" outlineLevel="0" collapsed="false">
      <c r="A64" s="16" t="n">
        <v>700</v>
      </c>
      <c r="B64" s="17" t="n">
        <v>168</v>
      </c>
      <c r="C64" s="17" t="n">
        <v>2</v>
      </c>
      <c r="D64" s="17" t="n">
        <v>3</v>
      </c>
      <c r="E64" s="17" t="n">
        <v>1</v>
      </c>
      <c r="F64" s="18" t="n">
        <v>2100</v>
      </c>
      <c r="G64" s="19" t="s">
        <v>60</v>
      </c>
      <c r="H64" s="20" t="str">
        <f aca="false">IFERROR(IF($F$5=0,"",ROUND(A64*$F$5/1000,3)),"")</f>
        <v/>
      </c>
      <c r="I64" s="18" t="str">
        <f aca="false">IFERROR(IF($F$6=0,"",ROUND($F$6*A64*($B$7/1000)^2,1)),"")</f>
        <v/>
      </c>
      <c r="J64" s="18" t="str">
        <f aca="false">IFERROR(IF(I64="","",ROUND(I64/$F$8,1)),"")</f>
        <v/>
      </c>
      <c r="K64" s="21" t="str">
        <f aca="false">IFERROR(IF(OR(H64="",I64=""),"",ROUND(I64/H64,2)),"")</f>
        <v/>
      </c>
      <c r="L64" s="22"/>
      <c r="M64" s="23"/>
      <c r="N64" s="24"/>
      <c r="O64" s="23"/>
      <c r="P64" s="23"/>
      <c r="Q64" s="25"/>
    </row>
    <row r="65" customFormat="false" ht="15" hidden="false" customHeight="true" outlineLevel="0" collapsed="false">
      <c r="A65" s="26" t="n">
        <v>703.125</v>
      </c>
      <c r="B65" s="27" t="n">
        <v>225</v>
      </c>
      <c r="C65" s="27" t="n">
        <v>2</v>
      </c>
      <c r="D65" s="27" t="n">
        <v>2</v>
      </c>
      <c r="E65" s="27" t="n">
        <v>2</v>
      </c>
      <c r="F65" s="28" t="n">
        <v>2812.5</v>
      </c>
      <c r="G65" s="29"/>
      <c r="H65" s="30" t="str">
        <f aca="false">IFERROR(IF($F$5=0,"",ROUND(A65*$F$5/1000,3)),"")</f>
        <v/>
      </c>
      <c r="I65" s="28" t="str">
        <f aca="false">IFERROR(IF($F$6=0,"",ROUND($F$6*A65*($B$7/1000)^2,1)),"")</f>
        <v/>
      </c>
      <c r="J65" s="28" t="str">
        <f aca="false">IFERROR(IF(I65="","",ROUND(I65/$F$8,1)),"")</f>
        <v/>
      </c>
      <c r="K65" s="31" t="str">
        <f aca="false">IFERROR(IF(OR(H65="",I65=""),"",ROUND(I65/H65,2)),"")</f>
        <v/>
      </c>
      <c r="L65" s="22"/>
      <c r="M65" s="23"/>
      <c r="N65" s="24"/>
      <c r="O65" s="23"/>
      <c r="P65" s="23"/>
      <c r="Q65" s="32"/>
    </row>
    <row r="66" customFormat="false" ht="15" hidden="false" customHeight="true" outlineLevel="0" collapsed="false">
      <c r="A66" s="16" t="n">
        <v>704.166667</v>
      </c>
      <c r="B66" s="17" t="n">
        <v>169</v>
      </c>
      <c r="C66" s="17" t="n">
        <v>2</v>
      </c>
      <c r="D66" s="17" t="n">
        <v>3</v>
      </c>
      <c r="E66" s="17" t="n">
        <v>1</v>
      </c>
      <c r="F66" s="18" t="n">
        <v>2112.5</v>
      </c>
      <c r="G66" s="33"/>
      <c r="H66" s="20" t="str">
        <f aca="false">IFERROR(IF($F$5=0,"",ROUND(A66*$F$5/1000,3)),"")</f>
        <v/>
      </c>
      <c r="I66" s="18" t="str">
        <f aca="false">IFERROR(IF($F$6=0,"",ROUND($F$6*A66*($B$7/1000)^2,1)),"")</f>
        <v/>
      </c>
      <c r="J66" s="18" t="str">
        <f aca="false">IFERROR(IF(I66="","",ROUND(I66/$F$8,1)),"")</f>
        <v/>
      </c>
      <c r="K66" s="21" t="str">
        <f aca="false">IFERROR(IF(OR(H66="",I66=""),"",ROUND(I66/H66,2)),"")</f>
        <v/>
      </c>
      <c r="L66" s="22"/>
      <c r="M66" s="23"/>
      <c r="N66" s="24"/>
      <c r="O66" s="23"/>
      <c r="P66" s="23"/>
      <c r="Q66" s="25"/>
    </row>
    <row r="67" customFormat="false" ht="15" hidden="false" customHeight="true" outlineLevel="0" collapsed="false">
      <c r="A67" s="26" t="n">
        <v>706.25</v>
      </c>
      <c r="B67" s="27" t="n">
        <v>226</v>
      </c>
      <c r="C67" s="27" t="n">
        <v>2</v>
      </c>
      <c r="D67" s="27" t="n">
        <v>2</v>
      </c>
      <c r="E67" s="27" t="n">
        <v>2</v>
      </c>
      <c r="F67" s="28" t="n">
        <v>2825</v>
      </c>
      <c r="G67" s="19" t="s">
        <v>60</v>
      </c>
      <c r="H67" s="30" t="str">
        <f aca="false">IFERROR(IF($F$5=0,"",ROUND(A67*$F$5/1000,3)),"")</f>
        <v/>
      </c>
      <c r="I67" s="28" t="str">
        <f aca="false">IFERROR(IF($F$6=0,"",ROUND($F$6*A67*($B$7/1000)^2,1)),"")</f>
        <v/>
      </c>
      <c r="J67" s="28" t="str">
        <f aca="false">IFERROR(IF(I67="","",ROUND(I67/$F$8,1)),"")</f>
        <v/>
      </c>
      <c r="K67" s="31" t="str">
        <f aca="false">IFERROR(IF(OR(H67="",I67=""),"",ROUND(I67/H67,2)),"")</f>
        <v/>
      </c>
      <c r="L67" s="22"/>
      <c r="M67" s="23"/>
      <c r="N67" s="24"/>
      <c r="O67" s="23"/>
      <c r="P67" s="23"/>
      <c r="Q67" s="32"/>
    </row>
    <row r="68" customFormat="false" ht="15" hidden="false" customHeight="true" outlineLevel="0" collapsed="false">
      <c r="A68" s="16" t="n">
        <v>708.333333</v>
      </c>
      <c r="B68" s="17" t="n">
        <v>170</v>
      </c>
      <c r="C68" s="17" t="n">
        <v>2</v>
      </c>
      <c r="D68" s="17" t="n">
        <v>3</v>
      </c>
      <c r="E68" s="17" t="n">
        <v>1</v>
      </c>
      <c r="F68" s="18" t="n">
        <v>2125</v>
      </c>
      <c r="G68" s="33"/>
      <c r="H68" s="20" t="str">
        <f aca="false">IFERROR(IF($F$5=0,"",ROUND(A68*$F$5/1000,3)),"")</f>
        <v/>
      </c>
      <c r="I68" s="18" t="str">
        <f aca="false">IFERROR(IF($F$6=0,"",ROUND($F$6*A68*($B$7/1000)^2,1)),"")</f>
        <v/>
      </c>
      <c r="J68" s="18" t="str">
        <f aca="false">IFERROR(IF(I68="","",ROUND(I68/$F$8,1)),"")</f>
        <v/>
      </c>
      <c r="K68" s="21" t="str">
        <f aca="false">IFERROR(IF(OR(H68="",I68=""),"",ROUND(I68/H68,2)),"")</f>
        <v/>
      </c>
      <c r="L68" s="22"/>
      <c r="M68" s="23"/>
      <c r="N68" s="24"/>
      <c r="O68" s="23"/>
      <c r="P68" s="23"/>
      <c r="Q68" s="25"/>
    </row>
    <row r="69" customFormat="false" ht="15" hidden="false" customHeight="true" outlineLevel="0" collapsed="false">
      <c r="A69" s="26" t="n">
        <v>709.375</v>
      </c>
      <c r="B69" s="27" t="n">
        <v>227</v>
      </c>
      <c r="C69" s="27" t="n">
        <v>2</v>
      </c>
      <c r="D69" s="27" t="n">
        <v>2</v>
      </c>
      <c r="E69" s="27" t="n">
        <v>2</v>
      </c>
      <c r="F69" s="28" t="n">
        <v>2837.5</v>
      </c>
      <c r="G69" s="29"/>
      <c r="H69" s="30" t="str">
        <f aca="false">IFERROR(IF($F$5=0,"",ROUND(A69*$F$5/1000,3)),"")</f>
        <v/>
      </c>
      <c r="I69" s="28" t="str">
        <f aca="false">IFERROR(IF($F$6=0,"",ROUND($F$6*A69*($B$7/1000)^2,1)),"")</f>
        <v/>
      </c>
      <c r="J69" s="28" t="str">
        <f aca="false">IFERROR(IF(I69="","",ROUND(I69/$F$8,1)),"")</f>
        <v/>
      </c>
      <c r="K69" s="31" t="str">
        <f aca="false">IFERROR(IF(OR(H69="",I69=""),"",ROUND(I69/H69,2)),"")</f>
        <v/>
      </c>
      <c r="L69" s="22"/>
      <c r="M69" s="23"/>
      <c r="N69" s="24"/>
      <c r="O69" s="23"/>
      <c r="P69" s="23"/>
      <c r="Q69" s="32"/>
    </row>
    <row r="70" customFormat="false" ht="15" hidden="false" customHeight="true" outlineLevel="0" collapsed="false">
      <c r="A70" s="16" t="n">
        <v>712.5</v>
      </c>
      <c r="B70" s="17" t="n">
        <v>171</v>
      </c>
      <c r="C70" s="17" t="n">
        <v>2</v>
      </c>
      <c r="D70" s="17" t="n">
        <v>3</v>
      </c>
      <c r="E70" s="17" t="n">
        <v>1</v>
      </c>
      <c r="F70" s="18" t="n">
        <v>2137.5</v>
      </c>
      <c r="G70" s="19" t="s">
        <v>60</v>
      </c>
      <c r="H70" s="20" t="str">
        <f aca="false">IFERROR(IF($F$5=0,"",ROUND(A70*$F$5/1000,3)),"")</f>
        <v/>
      </c>
      <c r="I70" s="18" t="str">
        <f aca="false">IFERROR(IF($F$6=0,"",ROUND($F$6*A70*($B$7/1000)^2,1)),"")</f>
        <v/>
      </c>
      <c r="J70" s="18" t="str">
        <f aca="false">IFERROR(IF(I70="","",ROUND(I70/$F$8,1)),"")</f>
        <v/>
      </c>
      <c r="K70" s="21" t="str">
        <f aca="false">IFERROR(IF(OR(H70="",I70=""),"",ROUND(I70/H70,2)),"")</f>
        <v/>
      </c>
      <c r="L70" s="22"/>
      <c r="M70" s="23"/>
      <c r="N70" s="24"/>
      <c r="O70" s="23"/>
      <c r="P70" s="23"/>
      <c r="Q70" s="25"/>
    </row>
    <row r="71" customFormat="false" ht="15" hidden="false" customHeight="true" outlineLevel="0" collapsed="false">
      <c r="A71" s="26" t="n">
        <v>715.625</v>
      </c>
      <c r="B71" s="27" t="n">
        <v>229</v>
      </c>
      <c r="C71" s="27" t="n">
        <v>2</v>
      </c>
      <c r="D71" s="27" t="n">
        <v>2</v>
      </c>
      <c r="E71" s="27" t="n">
        <v>2</v>
      </c>
      <c r="F71" s="28" t="n">
        <v>2862.5</v>
      </c>
      <c r="G71" s="29"/>
      <c r="H71" s="30" t="str">
        <f aca="false">IFERROR(IF($F$5=0,"",ROUND(A71*$F$5/1000,3)),"")</f>
        <v/>
      </c>
      <c r="I71" s="28" t="str">
        <f aca="false">IFERROR(IF($F$6=0,"",ROUND($F$6*A71*($B$7/1000)^2,1)),"")</f>
        <v/>
      </c>
      <c r="J71" s="28" t="str">
        <f aca="false">IFERROR(IF(I71="","",ROUND(I71/$F$8,1)),"")</f>
        <v/>
      </c>
      <c r="K71" s="31" t="str">
        <f aca="false">IFERROR(IF(OR(H71="",I71=""),"",ROUND(I71/H71,2)),"")</f>
        <v/>
      </c>
      <c r="L71" s="22"/>
      <c r="M71" s="23"/>
      <c r="N71" s="24"/>
      <c r="O71" s="23"/>
      <c r="P71" s="23"/>
      <c r="Q71" s="32"/>
    </row>
    <row r="72" customFormat="false" ht="15" hidden="false" customHeight="true" outlineLevel="0" collapsed="false">
      <c r="A72" s="16" t="n">
        <v>716.666667</v>
      </c>
      <c r="B72" s="17" t="n">
        <v>172</v>
      </c>
      <c r="C72" s="17" t="n">
        <v>2</v>
      </c>
      <c r="D72" s="17" t="n">
        <v>3</v>
      </c>
      <c r="E72" s="17" t="n">
        <v>1</v>
      </c>
      <c r="F72" s="18" t="n">
        <v>2150</v>
      </c>
      <c r="G72" s="33"/>
      <c r="H72" s="20" t="str">
        <f aca="false">IFERROR(IF($F$5=0,"",ROUND(A72*$F$5/1000,3)),"")</f>
        <v/>
      </c>
      <c r="I72" s="18" t="str">
        <f aca="false">IFERROR(IF($F$6=0,"",ROUND($F$6*A72*($B$7/1000)^2,1)),"")</f>
        <v/>
      </c>
      <c r="J72" s="18" t="str">
        <f aca="false">IFERROR(IF(I72="","",ROUND(I72/$F$8,1)),"")</f>
        <v/>
      </c>
      <c r="K72" s="21" t="str">
        <f aca="false">IFERROR(IF(OR(H72="",I72=""),"",ROUND(I72/H72,2)),"")</f>
        <v/>
      </c>
      <c r="L72" s="22"/>
      <c r="M72" s="23"/>
      <c r="N72" s="24"/>
      <c r="O72" s="23"/>
      <c r="P72" s="23"/>
      <c r="Q72" s="25"/>
    </row>
    <row r="73" customFormat="false" ht="15" hidden="false" customHeight="true" outlineLevel="0" collapsed="false">
      <c r="A73" s="26" t="n">
        <v>718.75</v>
      </c>
      <c r="B73" s="27" t="n">
        <v>230</v>
      </c>
      <c r="C73" s="27" t="n">
        <v>2</v>
      </c>
      <c r="D73" s="27" t="n">
        <v>2</v>
      </c>
      <c r="E73" s="27" t="n">
        <v>2</v>
      </c>
      <c r="F73" s="28" t="n">
        <v>2875</v>
      </c>
      <c r="G73" s="19" t="s">
        <v>60</v>
      </c>
      <c r="H73" s="30" t="str">
        <f aca="false">IFERROR(IF($F$5=0,"",ROUND(A73*$F$5/1000,3)),"")</f>
        <v/>
      </c>
      <c r="I73" s="28" t="str">
        <f aca="false">IFERROR(IF($F$6=0,"",ROUND($F$6*A73*($B$7/1000)^2,1)),"")</f>
        <v/>
      </c>
      <c r="J73" s="28" t="str">
        <f aca="false">IFERROR(IF(I73="","",ROUND(I73/$F$8,1)),"")</f>
        <v/>
      </c>
      <c r="K73" s="31" t="str">
        <f aca="false">IFERROR(IF(OR(H73="",I73=""),"",ROUND(I73/H73,2)),"")</f>
        <v/>
      </c>
      <c r="L73" s="22"/>
      <c r="M73" s="23"/>
      <c r="N73" s="24"/>
      <c r="O73" s="23"/>
      <c r="P73" s="23"/>
      <c r="Q73" s="32"/>
    </row>
    <row r="74" customFormat="false" ht="15" hidden="false" customHeight="true" outlineLevel="0" collapsed="false">
      <c r="A74" s="16" t="n">
        <v>720.833333</v>
      </c>
      <c r="B74" s="17" t="n">
        <v>173</v>
      </c>
      <c r="C74" s="17" t="n">
        <v>2</v>
      </c>
      <c r="D74" s="17" t="n">
        <v>3</v>
      </c>
      <c r="E74" s="17" t="n">
        <v>1</v>
      </c>
      <c r="F74" s="18" t="n">
        <v>2162.5</v>
      </c>
      <c r="G74" s="33"/>
      <c r="H74" s="20" t="str">
        <f aca="false">IFERROR(IF($F$5=0,"",ROUND(A74*$F$5/1000,3)),"")</f>
        <v/>
      </c>
      <c r="I74" s="18" t="str">
        <f aca="false">IFERROR(IF($F$6=0,"",ROUND($F$6*A74*($B$7/1000)^2,1)),"")</f>
        <v/>
      </c>
      <c r="J74" s="18" t="str">
        <f aca="false">IFERROR(IF(I74="","",ROUND(I74/$F$8,1)),"")</f>
        <v/>
      </c>
      <c r="K74" s="21" t="str">
        <f aca="false">IFERROR(IF(OR(H74="",I74=""),"",ROUND(I74/H74,2)),"")</f>
        <v/>
      </c>
      <c r="L74" s="22"/>
      <c r="M74" s="23"/>
      <c r="N74" s="24"/>
      <c r="O74" s="23"/>
      <c r="P74" s="23"/>
      <c r="Q74" s="25"/>
    </row>
    <row r="75" customFormat="false" ht="15" hidden="false" customHeight="true" outlineLevel="0" collapsed="false">
      <c r="A75" s="26" t="n">
        <v>721.875</v>
      </c>
      <c r="B75" s="27" t="n">
        <v>231</v>
      </c>
      <c r="C75" s="27" t="n">
        <v>2</v>
      </c>
      <c r="D75" s="27" t="n">
        <v>2</v>
      </c>
      <c r="E75" s="27" t="n">
        <v>2</v>
      </c>
      <c r="F75" s="28" t="n">
        <v>2887.5</v>
      </c>
      <c r="G75" s="29"/>
      <c r="H75" s="30" t="str">
        <f aca="false">IFERROR(IF($F$5=0,"",ROUND(A75*$F$5/1000,3)),"")</f>
        <v/>
      </c>
      <c r="I75" s="28" t="str">
        <f aca="false">IFERROR(IF($F$6=0,"",ROUND($F$6*A75*($B$7/1000)^2,1)),"")</f>
        <v/>
      </c>
      <c r="J75" s="28" t="str">
        <f aca="false">IFERROR(IF(I75="","",ROUND(I75/$F$8,1)),"")</f>
        <v/>
      </c>
      <c r="K75" s="31" t="str">
        <f aca="false">IFERROR(IF(OR(H75="",I75=""),"",ROUND(I75/H75,2)),"")</f>
        <v/>
      </c>
      <c r="L75" s="22"/>
      <c r="M75" s="23"/>
      <c r="N75" s="24"/>
      <c r="O75" s="23"/>
      <c r="P75" s="23"/>
      <c r="Q75" s="32"/>
    </row>
    <row r="76" customFormat="false" ht="15" hidden="false" customHeight="true" outlineLevel="0" collapsed="false">
      <c r="A76" s="16" t="n">
        <v>725</v>
      </c>
      <c r="B76" s="17" t="n">
        <v>174</v>
      </c>
      <c r="C76" s="17" t="n">
        <v>2</v>
      </c>
      <c r="D76" s="17" t="n">
        <v>3</v>
      </c>
      <c r="E76" s="17" t="n">
        <v>1</v>
      </c>
      <c r="F76" s="18" t="n">
        <v>2175</v>
      </c>
      <c r="G76" s="19" t="s">
        <v>60</v>
      </c>
      <c r="H76" s="20" t="str">
        <f aca="false">IFERROR(IF($F$5=0,"",ROUND(A76*$F$5/1000,3)),"")</f>
        <v/>
      </c>
      <c r="I76" s="18" t="str">
        <f aca="false">IFERROR(IF($F$6=0,"",ROUND($F$6*A76*($B$7/1000)^2,1)),"")</f>
        <v/>
      </c>
      <c r="J76" s="18" t="str">
        <f aca="false">IFERROR(IF(I76="","",ROUND(I76/$F$8,1)),"")</f>
        <v/>
      </c>
      <c r="K76" s="21" t="str">
        <f aca="false">IFERROR(IF(OR(H76="",I76=""),"",ROUND(I76/H76,2)),"")</f>
        <v/>
      </c>
      <c r="L76" s="22"/>
      <c r="M76" s="23"/>
      <c r="N76" s="24"/>
      <c r="O76" s="23"/>
      <c r="P76" s="23"/>
      <c r="Q76" s="25"/>
    </row>
    <row r="77" customFormat="false" ht="15" hidden="false" customHeight="true" outlineLevel="0" collapsed="false">
      <c r="A77" s="26" t="n">
        <v>728.125</v>
      </c>
      <c r="B77" s="27" t="n">
        <v>233</v>
      </c>
      <c r="C77" s="27" t="n">
        <v>2</v>
      </c>
      <c r="D77" s="27" t="n">
        <v>2</v>
      </c>
      <c r="E77" s="27" t="n">
        <v>2</v>
      </c>
      <c r="F77" s="28" t="n">
        <v>2912.5</v>
      </c>
      <c r="G77" s="29"/>
      <c r="H77" s="30" t="str">
        <f aca="false">IFERROR(IF($F$5=0,"",ROUND(A77*$F$5/1000,3)),"")</f>
        <v/>
      </c>
      <c r="I77" s="28" t="str">
        <f aca="false">IFERROR(IF($F$6=0,"",ROUND($F$6*A77*($B$7/1000)^2,1)),"")</f>
        <v/>
      </c>
      <c r="J77" s="28" t="str">
        <f aca="false">IFERROR(IF(I77="","",ROUND(I77/$F$8,1)),"")</f>
        <v/>
      </c>
      <c r="K77" s="31" t="str">
        <f aca="false">IFERROR(IF(OR(H77="",I77=""),"",ROUND(I77/H77,2)),"")</f>
        <v/>
      </c>
      <c r="L77" s="22"/>
      <c r="M77" s="23"/>
      <c r="N77" s="24"/>
      <c r="O77" s="23"/>
      <c r="P77" s="23"/>
      <c r="Q77" s="32"/>
    </row>
    <row r="78" customFormat="false" ht="15" hidden="false" customHeight="true" outlineLevel="0" collapsed="false">
      <c r="A78" s="16" t="n">
        <v>729.166667</v>
      </c>
      <c r="B78" s="17" t="n">
        <v>175</v>
      </c>
      <c r="C78" s="17" t="n">
        <v>2</v>
      </c>
      <c r="D78" s="17" t="n">
        <v>3</v>
      </c>
      <c r="E78" s="17" t="n">
        <v>1</v>
      </c>
      <c r="F78" s="18" t="n">
        <v>2187.5</v>
      </c>
      <c r="G78" s="33"/>
      <c r="H78" s="20" t="str">
        <f aca="false">IFERROR(IF($F$5=0,"",ROUND(A78*$F$5/1000,3)),"")</f>
        <v/>
      </c>
      <c r="I78" s="18" t="str">
        <f aca="false">IFERROR(IF($F$6=0,"",ROUND($F$6*A78*($B$7/1000)^2,1)),"")</f>
        <v/>
      </c>
      <c r="J78" s="18" t="str">
        <f aca="false">IFERROR(IF(I78="","",ROUND(I78/$F$8,1)),"")</f>
        <v/>
      </c>
      <c r="K78" s="21" t="str">
        <f aca="false">IFERROR(IF(OR(H78="",I78=""),"",ROUND(I78/H78,2)),"")</f>
        <v/>
      </c>
      <c r="L78" s="22"/>
      <c r="M78" s="23"/>
      <c r="N78" s="24"/>
      <c r="O78" s="23"/>
      <c r="P78" s="23"/>
      <c r="Q78" s="25"/>
    </row>
    <row r="79" customFormat="false" ht="15" hidden="false" customHeight="true" outlineLevel="0" collapsed="false">
      <c r="A79" s="26" t="n">
        <v>731.25</v>
      </c>
      <c r="B79" s="27" t="n">
        <v>234</v>
      </c>
      <c r="C79" s="27" t="n">
        <v>2</v>
      </c>
      <c r="D79" s="27" t="n">
        <v>2</v>
      </c>
      <c r="E79" s="27" t="n">
        <v>2</v>
      </c>
      <c r="F79" s="28" t="n">
        <v>2925</v>
      </c>
      <c r="G79" s="19" t="s">
        <v>60</v>
      </c>
      <c r="H79" s="30" t="str">
        <f aca="false">IFERROR(IF($F$5=0,"",ROUND(A79*$F$5/1000,3)),"")</f>
        <v/>
      </c>
      <c r="I79" s="28" t="str">
        <f aca="false">IFERROR(IF($F$6=0,"",ROUND($F$6*A79*($B$7/1000)^2,1)),"")</f>
        <v/>
      </c>
      <c r="J79" s="28" t="str">
        <f aca="false">IFERROR(IF(I79="","",ROUND(I79/$F$8,1)),"")</f>
        <v/>
      </c>
      <c r="K79" s="31" t="str">
        <f aca="false">IFERROR(IF(OR(H79="",I79=""),"",ROUND(I79/H79,2)),"")</f>
        <v/>
      </c>
      <c r="L79" s="22"/>
      <c r="M79" s="23"/>
      <c r="N79" s="24"/>
      <c r="O79" s="23"/>
      <c r="P79" s="23"/>
      <c r="Q79" s="32"/>
    </row>
    <row r="80" customFormat="false" ht="15" hidden="false" customHeight="true" outlineLevel="0" collapsed="false">
      <c r="A80" s="16" t="n">
        <v>733.333333</v>
      </c>
      <c r="B80" s="17" t="n">
        <v>176</v>
      </c>
      <c r="C80" s="17" t="n">
        <v>2</v>
      </c>
      <c r="D80" s="17" t="n">
        <v>3</v>
      </c>
      <c r="E80" s="17" t="n">
        <v>1</v>
      </c>
      <c r="F80" s="18" t="n">
        <v>2200</v>
      </c>
      <c r="G80" s="33"/>
      <c r="H80" s="20" t="str">
        <f aca="false">IFERROR(IF($F$5=0,"",ROUND(A80*$F$5/1000,3)),"")</f>
        <v/>
      </c>
      <c r="I80" s="18" t="str">
        <f aca="false">IFERROR(IF($F$6=0,"",ROUND($F$6*A80*($B$7/1000)^2,1)),"")</f>
        <v/>
      </c>
      <c r="J80" s="18" t="str">
        <f aca="false">IFERROR(IF(I80="","",ROUND(I80/$F$8,1)),"")</f>
        <v/>
      </c>
      <c r="K80" s="21" t="str">
        <f aca="false">IFERROR(IF(OR(H80="",I80=""),"",ROUND(I80/H80,2)),"")</f>
        <v/>
      </c>
      <c r="L80" s="22"/>
      <c r="M80" s="23"/>
      <c r="N80" s="24"/>
      <c r="O80" s="23"/>
      <c r="P80" s="23"/>
      <c r="Q80" s="25"/>
    </row>
    <row r="81" customFormat="false" ht="15" hidden="false" customHeight="true" outlineLevel="0" collapsed="false">
      <c r="A81" s="26" t="n">
        <v>734.375</v>
      </c>
      <c r="B81" s="27" t="n">
        <v>235</v>
      </c>
      <c r="C81" s="27" t="n">
        <v>2</v>
      </c>
      <c r="D81" s="27" t="n">
        <v>2</v>
      </c>
      <c r="E81" s="27" t="n">
        <v>2</v>
      </c>
      <c r="F81" s="28" t="n">
        <v>2937.5</v>
      </c>
      <c r="G81" s="29"/>
      <c r="H81" s="30" t="str">
        <f aca="false">IFERROR(IF($F$5=0,"",ROUND(A81*$F$5/1000,3)),"")</f>
        <v/>
      </c>
      <c r="I81" s="28" t="str">
        <f aca="false">IFERROR(IF($F$6=0,"",ROUND($F$6*A81*($B$7/1000)^2,1)),"")</f>
        <v/>
      </c>
      <c r="J81" s="28" t="str">
        <f aca="false">IFERROR(IF(I81="","",ROUND(I81/$F$8,1)),"")</f>
        <v/>
      </c>
      <c r="K81" s="31" t="str">
        <f aca="false">IFERROR(IF(OR(H81="",I81=""),"",ROUND(I81/H81,2)),"")</f>
        <v/>
      </c>
      <c r="L81" s="22"/>
      <c r="M81" s="23"/>
      <c r="N81" s="24"/>
      <c r="O81" s="23"/>
      <c r="P81" s="23"/>
      <c r="Q81" s="32"/>
    </row>
    <row r="82" customFormat="false" ht="15" hidden="false" customHeight="true" outlineLevel="0" collapsed="false">
      <c r="A82" s="16" t="n">
        <v>737.5</v>
      </c>
      <c r="B82" s="17" t="n">
        <v>177</v>
      </c>
      <c r="C82" s="17" t="n">
        <v>2</v>
      </c>
      <c r="D82" s="17" t="n">
        <v>3</v>
      </c>
      <c r="E82" s="17" t="n">
        <v>1</v>
      </c>
      <c r="F82" s="18" t="n">
        <v>2212.5</v>
      </c>
      <c r="G82" s="19" t="s">
        <v>60</v>
      </c>
      <c r="H82" s="20" t="str">
        <f aca="false">IFERROR(IF($F$5=0,"",ROUND(A82*$F$5/1000,3)),"")</f>
        <v/>
      </c>
      <c r="I82" s="18" t="str">
        <f aca="false">IFERROR(IF($F$6=0,"",ROUND($F$6*A82*($B$7/1000)^2,1)),"")</f>
        <v/>
      </c>
      <c r="J82" s="18" t="str">
        <f aca="false">IFERROR(IF(I82="","",ROUND(I82/$F$8,1)),"")</f>
        <v/>
      </c>
      <c r="K82" s="21" t="str">
        <f aca="false">IFERROR(IF(OR(H82="",I82=""),"",ROUND(I82/H82,2)),"")</f>
        <v/>
      </c>
      <c r="L82" s="22"/>
      <c r="M82" s="23"/>
      <c r="N82" s="24"/>
      <c r="O82" s="23"/>
      <c r="P82" s="23"/>
      <c r="Q82" s="25"/>
    </row>
    <row r="83" customFormat="false" ht="15" hidden="false" customHeight="true" outlineLevel="0" collapsed="false">
      <c r="A83" s="26" t="n">
        <v>741.666667</v>
      </c>
      <c r="B83" s="27" t="n">
        <v>178</v>
      </c>
      <c r="C83" s="27" t="n">
        <v>2</v>
      </c>
      <c r="D83" s="27" t="n">
        <v>3</v>
      </c>
      <c r="E83" s="27" t="n">
        <v>1</v>
      </c>
      <c r="F83" s="28" t="n">
        <v>2225</v>
      </c>
      <c r="G83" s="29"/>
      <c r="H83" s="30" t="str">
        <f aca="false">IFERROR(IF($F$5=0,"",ROUND(A83*$F$5/1000,3)),"")</f>
        <v/>
      </c>
      <c r="I83" s="28" t="str">
        <f aca="false">IFERROR(IF($F$6=0,"",ROUND($F$6*A83*($B$7/1000)^2,1)),"")</f>
        <v/>
      </c>
      <c r="J83" s="28" t="str">
        <f aca="false">IFERROR(IF(I83="","",ROUND(I83/$F$8,1)),"")</f>
        <v/>
      </c>
      <c r="K83" s="31" t="str">
        <f aca="false">IFERROR(IF(OR(H83="",I83=""),"",ROUND(I83/H83,2)),"")</f>
        <v/>
      </c>
      <c r="L83" s="22"/>
      <c r="M83" s="23"/>
      <c r="N83" s="24"/>
      <c r="O83" s="23"/>
      <c r="P83" s="23"/>
      <c r="Q83" s="32"/>
    </row>
    <row r="84" customFormat="false" ht="15" hidden="false" customHeight="true" outlineLevel="0" collapsed="false">
      <c r="A84" s="16" t="n">
        <v>745.833333</v>
      </c>
      <c r="B84" s="17" t="n">
        <v>179</v>
      </c>
      <c r="C84" s="17" t="n">
        <v>2</v>
      </c>
      <c r="D84" s="17" t="n">
        <v>3</v>
      </c>
      <c r="E84" s="17" t="n">
        <v>1</v>
      </c>
      <c r="F84" s="18" t="n">
        <v>2237.5</v>
      </c>
      <c r="G84" s="33"/>
      <c r="H84" s="20" t="str">
        <f aca="false">IFERROR(IF($F$5=0,"",ROUND(A84*$F$5/1000,3)),"")</f>
        <v/>
      </c>
      <c r="I84" s="18" t="str">
        <f aca="false">IFERROR(IF($F$6=0,"",ROUND($F$6*A84*($B$7/1000)^2,1)),"")</f>
        <v/>
      </c>
      <c r="J84" s="18" t="str">
        <f aca="false">IFERROR(IF(I84="","",ROUND(I84/$F$8,1)),"")</f>
        <v/>
      </c>
      <c r="K84" s="21" t="str">
        <f aca="false">IFERROR(IF(OR(H84="",I84=""),"",ROUND(I84/H84,2)),"")</f>
        <v/>
      </c>
      <c r="L84" s="22"/>
      <c r="M84" s="23"/>
      <c r="N84" s="24"/>
      <c r="O84" s="23"/>
      <c r="P84" s="23"/>
      <c r="Q84" s="25"/>
    </row>
    <row r="85" customFormat="false" ht="15" hidden="false" customHeight="true" outlineLevel="0" collapsed="false">
      <c r="A85" s="26" t="n">
        <v>750</v>
      </c>
      <c r="B85" s="27" t="n">
        <v>180</v>
      </c>
      <c r="C85" s="27" t="n">
        <v>2</v>
      </c>
      <c r="D85" s="27" t="n">
        <v>3</v>
      </c>
      <c r="E85" s="27" t="n">
        <v>1</v>
      </c>
      <c r="F85" s="28" t="n">
        <v>2250</v>
      </c>
      <c r="G85" s="19" t="s">
        <v>60</v>
      </c>
      <c r="H85" s="30" t="str">
        <f aca="false">IFERROR(IF($F$5=0,"",ROUND(A85*$F$5/1000,3)),"")</f>
        <v/>
      </c>
      <c r="I85" s="28" t="str">
        <f aca="false">IFERROR(IF($F$6=0,"",ROUND($F$6*A85*($B$7/1000)^2,1)),"")</f>
        <v/>
      </c>
      <c r="J85" s="28" t="str">
        <f aca="false">IFERROR(IF(I85="","",ROUND(I85/$F$8,1)),"")</f>
        <v/>
      </c>
      <c r="K85" s="31" t="str">
        <f aca="false">IFERROR(IF(OR(H85="",I85=""),"",ROUND(I85/H85,2)),"")</f>
        <v/>
      </c>
      <c r="L85" s="22"/>
      <c r="M85" s="23"/>
      <c r="N85" s="24"/>
      <c r="O85" s="23"/>
      <c r="P85" s="23"/>
      <c r="Q85" s="32"/>
    </row>
    <row r="86" customFormat="false" ht="15" hidden="false" customHeight="true" outlineLevel="0" collapsed="false">
      <c r="A86" s="16" t="n">
        <v>754.166667</v>
      </c>
      <c r="B86" s="17" t="n">
        <v>181</v>
      </c>
      <c r="C86" s="17" t="n">
        <v>2</v>
      </c>
      <c r="D86" s="17" t="n">
        <v>3</v>
      </c>
      <c r="E86" s="17" t="n">
        <v>1</v>
      </c>
      <c r="F86" s="18" t="n">
        <v>2262.5</v>
      </c>
      <c r="G86" s="33"/>
      <c r="H86" s="20" t="str">
        <f aca="false">IFERROR(IF($F$5=0,"",ROUND(A86*$F$5/1000,3)),"")</f>
        <v/>
      </c>
      <c r="I86" s="18" t="str">
        <f aca="false">IFERROR(IF($F$6=0,"",ROUND($F$6*A86*($B$7/1000)^2,1)),"")</f>
        <v/>
      </c>
      <c r="J86" s="18" t="str">
        <f aca="false">IFERROR(IF(I86="","",ROUND(I86/$F$8,1)),"")</f>
        <v/>
      </c>
      <c r="K86" s="21" t="str">
        <f aca="false">IFERROR(IF(OR(H86="",I86=""),"",ROUND(I86/H86,2)),"")</f>
        <v/>
      </c>
      <c r="L86" s="22"/>
      <c r="M86" s="23"/>
      <c r="N86" s="24"/>
      <c r="O86" s="23"/>
      <c r="P86" s="23"/>
      <c r="Q86" s="25"/>
    </row>
    <row r="87" customFormat="false" ht="15" hidden="false" customHeight="true" outlineLevel="0" collapsed="false">
      <c r="A87" s="26" t="n">
        <v>758.333333</v>
      </c>
      <c r="B87" s="27" t="n">
        <v>182</v>
      </c>
      <c r="C87" s="27" t="n">
        <v>2</v>
      </c>
      <c r="D87" s="27" t="n">
        <v>3</v>
      </c>
      <c r="E87" s="27" t="n">
        <v>1</v>
      </c>
      <c r="F87" s="28" t="n">
        <v>2275</v>
      </c>
      <c r="G87" s="29"/>
      <c r="H87" s="30" t="str">
        <f aca="false">IFERROR(IF($F$5=0,"",ROUND(A87*$F$5/1000,3)),"")</f>
        <v/>
      </c>
      <c r="I87" s="28" t="str">
        <f aca="false">IFERROR(IF($F$6=0,"",ROUND($F$6*A87*($B$7/1000)^2,1)),"")</f>
        <v/>
      </c>
      <c r="J87" s="28" t="str">
        <f aca="false">IFERROR(IF(I87="","",ROUND(I87/$F$8,1)),"")</f>
        <v/>
      </c>
      <c r="K87" s="31" t="str">
        <f aca="false">IFERROR(IF(OR(H87="",I87=""),"",ROUND(I87/H87,2)),"")</f>
        <v/>
      </c>
      <c r="L87" s="22" t="n">
        <v>1.547</v>
      </c>
      <c r="M87" s="23"/>
      <c r="N87" s="24" t="n">
        <v>0</v>
      </c>
      <c r="O87" s="23"/>
      <c r="P87" s="23"/>
      <c r="Q87" s="32" t="s">
        <v>62</v>
      </c>
    </row>
    <row r="88" customFormat="false" ht="15" hidden="false" customHeight="true" outlineLevel="0" collapsed="false">
      <c r="A88" s="16" t="n">
        <v>762.5</v>
      </c>
      <c r="B88" s="17" t="n">
        <v>183</v>
      </c>
      <c r="C88" s="17" t="n">
        <v>2</v>
      </c>
      <c r="D88" s="17" t="n">
        <v>3</v>
      </c>
      <c r="E88" s="17" t="n">
        <v>1</v>
      </c>
      <c r="F88" s="18" t="n">
        <v>2287.5</v>
      </c>
      <c r="G88" s="19" t="s">
        <v>60</v>
      </c>
      <c r="H88" s="20" t="str">
        <f aca="false">IFERROR(IF($F$5=0,"",ROUND(A88*$F$5/1000,3)),"")</f>
        <v/>
      </c>
      <c r="I88" s="18" t="str">
        <f aca="false">IFERROR(IF($F$6=0,"",ROUND($F$6*A88*($B$7/1000)^2,1)),"")</f>
        <v/>
      </c>
      <c r="J88" s="18" t="str">
        <f aca="false">IFERROR(IF(I88="","",ROUND(I88/$F$8,1)),"")</f>
        <v/>
      </c>
      <c r="K88" s="21" t="str">
        <f aca="false">IFERROR(IF(OR(H88="",I88=""),"",ROUND(I88/H88,2)),"")</f>
        <v/>
      </c>
      <c r="L88" s="22" t="n">
        <v>1.556</v>
      </c>
      <c r="M88" s="23" t="n">
        <v>30</v>
      </c>
      <c r="N88" s="24" t="n">
        <v>0</v>
      </c>
      <c r="O88" s="23" t="n">
        <v>58</v>
      </c>
      <c r="P88" s="23"/>
      <c r="Q88" s="25" t="s">
        <v>63</v>
      </c>
    </row>
    <row r="89" customFormat="false" ht="15" hidden="false" customHeight="true" outlineLevel="0" collapsed="false">
      <c r="A89" s="26" t="n">
        <v>766.666667</v>
      </c>
      <c r="B89" s="27" t="n">
        <v>184</v>
      </c>
      <c r="C89" s="27" t="n">
        <v>2</v>
      </c>
      <c r="D89" s="27" t="n">
        <v>3</v>
      </c>
      <c r="E89" s="27" t="n">
        <v>1</v>
      </c>
      <c r="F89" s="28" t="n">
        <v>2300</v>
      </c>
      <c r="G89" s="29"/>
      <c r="H89" s="30" t="str">
        <f aca="false">IFERROR(IF($F$5=0,"",ROUND(A89*$F$5/1000,3)),"")</f>
        <v/>
      </c>
      <c r="I89" s="28" t="str">
        <f aca="false">IFERROR(IF($F$6=0,"",ROUND($F$6*A89*($B$7/1000)^2,1)),"")</f>
        <v/>
      </c>
      <c r="J89" s="28" t="str">
        <f aca="false">IFERROR(IF(I89="","",ROUND(I89/$F$8,1)),"")</f>
        <v/>
      </c>
      <c r="K89" s="31" t="str">
        <f aca="false">IFERROR(IF(OR(H89="",I89=""),"",ROUND(I89/H89,2)),"")</f>
        <v/>
      </c>
      <c r="L89" s="22"/>
      <c r="M89" s="23"/>
      <c r="N89" s="24"/>
      <c r="O89" s="23"/>
      <c r="P89" s="23"/>
      <c r="Q89" s="32"/>
    </row>
    <row r="90" customFormat="false" ht="15" hidden="false" customHeight="true" outlineLevel="0" collapsed="false">
      <c r="A90" s="16" t="n">
        <v>770.833333</v>
      </c>
      <c r="B90" s="17" t="n">
        <v>185</v>
      </c>
      <c r="C90" s="17" t="n">
        <v>2</v>
      </c>
      <c r="D90" s="17" t="n">
        <v>3</v>
      </c>
      <c r="E90" s="17" t="n">
        <v>1</v>
      </c>
      <c r="F90" s="18" t="n">
        <v>2312.5</v>
      </c>
      <c r="G90" s="33"/>
      <c r="H90" s="20" t="str">
        <f aca="false">IFERROR(IF($F$5=0,"",ROUND(A90*$F$5/1000,3)),"")</f>
        <v/>
      </c>
      <c r="I90" s="18" t="str">
        <f aca="false">IFERROR(IF($F$6=0,"",ROUND($F$6*A90*($B$7/1000)^2,1)),"")</f>
        <v/>
      </c>
      <c r="J90" s="18" t="str">
        <f aca="false">IFERROR(IF(I90="","",ROUND(I90/$F$8,1)),"")</f>
        <v/>
      </c>
      <c r="K90" s="21" t="str">
        <f aca="false">IFERROR(IF(OR(H90="",I90=""),"",ROUND(I90/H90,2)),"")</f>
        <v/>
      </c>
      <c r="L90" s="22" t="n">
        <v>1.568</v>
      </c>
      <c r="M90" s="23" t="n">
        <v>31</v>
      </c>
      <c r="N90" s="24" t="n">
        <v>0</v>
      </c>
      <c r="O90" s="23"/>
      <c r="P90" s="23"/>
      <c r="Q90" s="25" t="s">
        <v>64</v>
      </c>
    </row>
    <row r="91" customFormat="false" ht="15" hidden="false" customHeight="true" outlineLevel="0" collapsed="false">
      <c r="A91" s="26" t="n">
        <v>775</v>
      </c>
      <c r="B91" s="27" t="n">
        <v>186</v>
      </c>
      <c r="C91" s="27" t="n">
        <v>2</v>
      </c>
      <c r="D91" s="27" t="n">
        <v>3</v>
      </c>
      <c r="E91" s="27" t="n">
        <v>1</v>
      </c>
      <c r="F91" s="28" t="n">
        <v>2325</v>
      </c>
      <c r="G91" s="19" t="s">
        <v>60</v>
      </c>
      <c r="H91" s="30" t="str">
        <f aca="false">IFERROR(IF($F$5=0,"",ROUND(A91*$F$5/1000,3)),"")</f>
        <v/>
      </c>
      <c r="I91" s="28" t="str">
        <f aca="false">IFERROR(IF($F$6=0,"",ROUND($F$6*A91*($B$7/1000)^2,1)),"")</f>
        <v/>
      </c>
      <c r="J91" s="28" t="str">
        <f aca="false">IFERROR(IF(I91="","",ROUND(I91/$F$8,1)),"")</f>
        <v/>
      </c>
      <c r="K91" s="31" t="str">
        <f aca="false">IFERROR(IF(OR(H91="",I91=""),"",ROUND(I91/H91,2)),"")</f>
        <v/>
      </c>
      <c r="L91" s="22"/>
      <c r="M91" s="23"/>
      <c r="N91" s="24"/>
      <c r="O91" s="23"/>
      <c r="P91" s="23"/>
      <c r="Q91" s="32"/>
    </row>
    <row r="92" customFormat="false" ht="15" hidden="false" customHeight="true" outlineLevel="0" collapsed="false">
      <c r="A92" s="16" t="n">
        <v>779.166667</v>
      </c>
      <c r="B92" s="17" t="n">
        <v>187</v>
      </c>
      <c r="C92" s="17" t="n">
        <v>2</v>
      </c>
      <c r="D92" s="17" t="n">
        <v>3</v>
      </c>
      <c r="E92" s="17" t="n">
        <v>1</v>
      </c>
      <c r="F92" s="18" t="n">
        <v>2337.5</v>
      </c>
      <c r="G92" s="33"/>
      <c r="H92" s="20" t="str">
        <f aca="false">IFERROR(IF($F$5=0,"",ROUND(A92*$F$5/1000,3)),"")</f>
        <v/>
      </c>
      <c r="I92" s="18" t="str">
        <f aca="false">IFERROR(IF($F$6=0,"",ROUND($F$6*A92*($B$7/1000)^2,1)),"")</f>
        <v/>
      </c>
      <c r="J92" s="18" t="str">
        <f aca="false">IFERROR(IF(I92="","",ROUND(I92/$F$8,1)),"")</f>
        <v/>
      </c>
      <c r="K92" s="21" t="str">
        <f aca="false">IFERROR(IF(OR(H92="",I92=""),"",ROUND(I92/H92,2)),"")</f>
        <v/>
      </c>
      <c r="L92" s="22"/>
      <c r="M92" s="23"/>
      <c r="N92" s="24"/>
      <c r="O92" s="23"/>
      <c r="P92" s="23"/>
      <c r="Q92" s="25"/>
    </row>
    <row r="93" customFormat="false" ht="15" hidden="false" customHeight="true" outlineLevel="0" collapsed="false">
      <c r="A93" s="26" t="n">
        <v>783.333333</v>
      </c>
      <c r="B93" s="27" t="n">
        <v>188</v>
      </c>
      <c r="C93" s="27" t="n">
        <v>2</v>
      </c>
      <c r="D93" s="27" t="n">
        <v>3</v>
      </c>
      <c r="E93" s="27" t="n">
        <v>1</v>
      </c>
      <c r="F93" s="28" t="n">
        <v>2350</v>
      </c>
      <c r="G93" s="29"/>
      <c r="H93" s="30" t="str">
        <f aca="false">IFERROR(IF($F$5=0,"",ROUND(A93*$F$5/1000,3)),"")</f>
        <v/>
      </c>
      <c r="I93" s="28" t="str">
        <f aca="false">IFERROR(IF($F$6=0,"",ROUND($F$6*A93*($B$7/1000)^2,1)),"")</f>
        <v/>
      </c>
      <c r="J93" s="28" t="str">
        <f aca="false">IFERROR(IF(I93="","",ROUND(I93/$F$8,1)),"")</f>
        <v/>
      </c>
      <c r="K93" s="31" t="str">
        <f aca="false">IFERROR(IF(OR(H93="",I93=""),"",ROUND(I93/H93,2)),"")</f>
        <v/>
      </c>
      <c r="L93" s="22"/>
      <c r="M93" s="23"/>
      <c r="N93" s="24"/>
      <c r="O93" s="23"/>
      <c r="P93" s="23"/>
      <c r="Q93" s="32"/>
    </row>
    <row r="94" customFormat="false" ht="15" hidden="false" customHeight="true" outlineLevel="0" collapsed="false">
      <c r="A94" s="16" t="n">
        <v>787.5</v>
      </c>
      <c r="B94" s="17" t="n">
        <v>189</v>
      </c>
      <c r="C94" s="17" t="n">
        <v>2</v>
      </c>
      <c r="D94" s="17" t="n">
        <v>3</v>
      </c>
      <c r="E94" s="17" t="n">
        <v>1</v>
      </c>
      <c r="F94" s="18" t="n">
        <v>2362.5</v>
      </c>
      <c r="G94" s="19" t="s">
        <v>60</v>
      </c>
      <c r="H94" s="20" t="str">
        <f aca="false">IFERROR(IF($F$5=0,"",ROUND(A94*$F$5/1000,3)),"")</f>
        <v/>
      </c>
      <c r="I94" s="18" t="str">
        <f aca="false">IFERROR(IF($F$6=0,"",ROUND($F$6*A94*($B$7/1000)^2,1)),"")</f>
        <v/>
      </c>
      <c r="J94" s="18" t="str">
        <f aca="false">IFERROR(IF(I94="","",ROUND(I94/$F$8,1)),"")</f>
        <v/>
      </c>
      <c r="K94" s="21" t="str">
        <f aca="false">IFERROR(IF(OR(H94="",I94=""),"",ROUND(I94/H94,2)),"")</f>
        <v/>
      </c>
      <c r="L94" s="22"/>
      <c r="M94" s="23"/>
      <c r="N94" s="24"/>
      <c r="O94" s="23"/>
      <c r="P94" s="23"/>
      <c r="Q94" s="25"/>
    </row>
    <row r="95" customFormat="false" ht="15" hidden="false" customHeight="true" outlineLevel="0" collapsed="false">
      <c r="A95" s="26" t="n">
        <v>791.666667</v>
      </c>
      <c r="B95" s="27" t="n">
        <v>190</v>
      </c>
      <c r="C95" s="27" t="n">
        <v>2</v>
      </c>
      <c r="D95" s="27" t="n">
        <v>3</v>
      </c>
      <c r="E95" s="27" t="n">
        <v>1</v>
      </c>
      <c r="F95" s="28" t="n">
        <v>2375</v>
      </c>
      <c r="G95" s="29"/>
      <c r="H95" s="30" t="str">
        <f aca="false">IFERROR(IF($F$5=0,"",ROUND(A95*$F$5/1000,3)),"")</f>
        <v/>
      </c>
      <c r="I95" s="28" t="str">
        <f aca="false">IFERROR(IF($F$6=0,"",ROUND($F$6*A95*($B$7/1000)^2,1)),"")</f>
        <v/>
      </c>
      <c r="J95" s="28" t="str">
        <f aca="false">IFERROR(IF(I95="","",ROUND(I95/$F$8,1)),"")</f>
        <v/>
      </c>
      <c r="K95" s="31" t="str">
        <f aca="false">IFERROR(IF(OR(H95="",I95=""),"",ROUND(I95/H95,2)),"")</f>
        <v/>
      </c>
      <c r="L95" s="22"/>
      <c r="M95" s="23"/>
      <c r="N95" s="24"/>
      <c r="O95" s="23"/>
      <c r="P95" s="23"/>
      <c r="Q95" s="32"/>
    </row>
    <row r="96" customFormat="false" ht="15" hidden="false" customHeight="true" outlineLevel="0" collapsed="false">
      <c r="A96" s="16" t="n">
        <v>795.833333</v>
      </c>
      <c r="B96" s="17" t="n">
        <v>191</v>
      </c>
      <c r="C96" s="17" t="n">
        <v>2</v>
      </c>
      <c r="D96" s="17" t="n">
        <v>3</v>
      </c>
      <c r="E96" s="17" t="n">
        <v>1</v>
      </c>
      <c r="F96" s="18" t="n">
        <v>2387.5</v>
      </c>
      <c r="G96" s="33"/>
      <c r="H96" s="20" t="str">
        <f aca="false">IFERROR(IF($F$5=0,"",ROUND(A96*$F$5/1000,3)),"")</f>
        <v/>
      </c>
      <c r="I96" s="18" t="str">
        <f aca="false">IFERROR(IF($F$6=0,"",ROUND($F$6*A96*($B$7/1000)^2,1)),"")</f>
        <v/>
      </c>
      <c r="J96" s="18" t="str">
        <f aca="false">IFERROR(IF(I96="","",ROUND(I96/$F$8,1)),"")</f>
        <v/>
      </c>
      <c r="K96" s="21" t="str">
        <f aca="false">IFERROR(IF(OR(H96="",I96=""),"",ROUND(I96/H96,2)),"")</f>
        <v/>
      </c>
      <c r="L96" s="22"/>
      <c r="M96" s="23"/>
      <c r="N96" s="24"/>
      <c r="O96" s="23"/>
      <c r="P96" s="23"/>
      <c r="Q96" s="25"/>
    </row>
    <row r="97" customFormat="false" ht="15" hidden="false" customHeight="true" outlineLevel="0" collapsed="false">
      <c r="A97" s="26" t="n">
        <v>800</v>
      </c>
      <c r="B97" s="27" t="n">
        <v>192</v>
      </c>
      <c r="C97" s="27" t="n">
        <v>2</v>
      </c>
      <c r="D97" s="27" t="n">
        <v>3</v>
      </c>
      <c r="E97" s="27" t="n">
        <v>1</v>
      </c>
      <c r="F97" s="28" t="n">
        <v>2400</v>
      </c>
      <c r="G97" s="19" t="s">
        <v>60</v>
      </c>
      <c r="H97" s="30" t="str">
        <f aca="false">IFERROR(IF($F$5=0,"",ROUND(A97*$F$5/1000,3)),"")</f>
        <v/>
      </c>
      <c r="I97" s="28" t="str">
        <f aca="false">IFERROR(IF($F$6=0,"",ROUND($F$6*A97*($B$7/1000)^2,1)),"")</f>
        <v/>
      </c>
      <c r="J97" s="28" t="str">
        <f aca="false">IFERROR(IF(I97="","",ROUND(I97/$F$8,1)),"")</f>
        <v/>
      </c>
      <c r="K97" s="31" t="str">
        <f aca="false">IFERROR(IF(OR(H97="",I97=""),"",ROUND(I97/H97,2)),"")</f>
        <v/>
      </c>
      <c r="L97" s="22"/>
      <c r="M97" s="23"/>
      <c r="N97" s="24"/>
      <c r="O97" s="23"/>
      <c r="P97" s="23"/>
      <c r="Q97" s="32"/>
    </row>
    <row r="98" customFormat="false" ht="15" hidden="false" customHeight="true" outlineLevel="0" collapsed="false">
      <c r="A98" s="16" t="n">
        <v>804.166667</v>
      </c>
      <c r="B98" s="17" t="n">
        <v>193</v>
      </c>
      <c r="C98" s="17" t="n">
        <v>2</v>
      </c>
      <c r="D98" s="17" t="n">
        <v>3</v>
      </c>
      <c r="E98" s="17" t="n">
        <v>1</v>
      </c>
      <c r="F98" s="18" t="n">
        <v>2412.5</v>
      </c>
      <c r="G98" s="33"/>
      <c r="H98" s="20" t="str">
        <f aca="false">IFERROR(IF($F$5=0,"",ROUND(A98*$F$5/1000,3)),"")</f>
        <v/>
      </c>
      <c r="I98" s="18" t="str">
        <f aca="false">IFERROR(IF($F$6=0,"",ROUND($F$6*A98*($B$7/1000)^2,1)),"")</f>
        <v/>
      </c>
      <c r="J98" s="18" t="str">
        <f aca="false">IFERROR(IF(I98="","",ROUND(I98/$F$8,1)),"")</f>
        <v/>
      </c>
      <c r="K98" s="21" t="str">
        <f aca="false">IFERROR(IF(OR(H98="",I98=""),"",ROUND(I98/H98,2)),"")</f>
        <v/>
      </c>
      <c r="L98" s="22"/>
      <c r="M98" s="23"/>
      <c r="N98" s="24"/>
      <c r="O98" s="23"/>
      <c r="P98" s="23"/>
      <c r="Q98" s="25"/>
    </row>
    <row r="99" customFormat="false" ht="15" hidden="false" customHeight="true" outlineLevel="0" collapsed="false">
      <c r="A99" s="26" t="n">
        <v>808.333333</v>
      </c>
      <c r="B99" s="27" t="n">
        <v>194</v>
      </c>
      <c r="C99" s="27" t="n">
        <v>2</v>
      </c>
      <c r="D99" s="27" t="n">
        <v>3</v>
      </c>
      <c r="E99" s="27" t="n">
        <v>1</v>
      </c>
      <c r="F99" s="28" t="n">
        <v>2425</v>
      </c>
      <c r="G99" s="29"/>
      <c r="H99" s="30" t="str">
        <f aca="false">IFERROR(IF($F$5=0,"",ROUND(A99*$F$5/1000,3)),"")</f>
        <v/>
      </c>
      <c r="I99" s="28" t="str">
        <f aca="false">IFERROR(IF($F$6=0,"",ROUND($F$6*A99*($B$7/1000)^2,1)),"")</f>
        <v/>
      </c>
      <c r="J99" s="28" t="str">
        <f aca="false">IFERROR(IF(I99="","",ROUND(I99/$F$8,1)),"")</f>
        <v/>
      </c>
      <c r="K99" s="31" t="str">
        <f aca="false">IFERROR(IF(OR(H99="",I99=""),"",ROUND(I99/H99,2)),"")</f>
        <v/>
      </c>
      <c r="L99" s="22"/>
      <c r="M99" s="23"/>
      <c r="N99" s="24"/>
      <c r="O99" s="23"/>
      <c r="P99" s="23"/>
      <c r="Q99" s="32"/>
    </row>
    <row r="100" customFormat="false" ht="15" hidden="false" customHeight="true" outlineLevel="0" collapsed="false">
      <c r="A100" s="16" t="n">
        <v>812.5</v>
      </c>
      <c r="B100" s="17" t="n">
        <v>195</v>
      </c>
      <c r="C100" s="17" t="n">
        <v>2</v>
      </c>
      <c r="D100" s="17" t="n">
        <v>3</v>
      </c>
      <c r="E100" s="17" t="n">
        <v>1</v>
      </c>
      <c r="F100" s="18" t="n">
        <v>2437.5</v>
      </c>
      <c r="G100" s="19" t="s">
        <v>60</v>
      </c>
      <c r="H100" s="20" t="str">
        <f aca="false">IFERROR(IF($F$5=0,"",ROUND(A100*$F$5/1000,3)),"")</f>
        <v/>
      </c>
      <c r="I100" s="18" t="str">
        <f aca="false">IFERROR(IF($F$6=0,"",ROUND($F$6*A100*($B$7/1000)^2,1)),"")</f>
        <v/>
      </c>
      <c r="J100" s="18" t="str">
        <f aca="false">IFERROR(IF(I100="","",ROUND(I100/$F$8,1)),"")</f>
        <v/>
      </c>
      <c r="K100" s="21" t="str">
        <f aca="false">IFERROR(IF(OR(H100="",I100=""),"",ROUND(I100/H100,2)),"")</f>
        <v/>
      </c>
      <c r="L100" s="22"/>
      <c r="M100" s="23"/>
      <c r="N100" s="24"/>
      <c r="O100" s="23"/>
      <c r="P100" s="23"/>
      <c r="Q100" s="25"/>
    </row>
    <row r="101" customFormat="false" ht="15" hidden="false" customHeight="true" outlineLevel="0" collapsed="false">
      <c r="A101" s="26" t="n">
        <v>816.666667</v>
      </c>
      <c r="B101" s="27" t="n">
        <v>196</v>
      </c>
      <c r="C101" s="27" t="n">
        <v>2</v>
      </c>
      <c r="D101" s="27" t="n">
        <v>3</v>
      </c>
      <c r="E101" s="27" t="n">
        <v>1</v>
      </c>
      <c r="F101" s="28" t="n">
        <v>2450</v>
      </c>
      <c r="G101" s="29"/>
      <c r="H101" s="30" t="str">
        <f aca="false">IFERROR(IF($F$5=0,"",ROUND(A101*$F$5/1000,3)),"")</f>
        <v/>
      </c>
      <c r="I101" s="28" t="str">
        <f aca="false">IFERROR(IF($F$6=0,"",ROUND($F$6*A101*($B$7/1000)^2,1)),"")</f>
        <v/>
      </c>
      <c r="J101" s="28" t="str">
        <f aca="false">IFERROR(IF(I101="","",ROUND(I101/$F$8,1)),"")</f>
        <v/>
      </c>
      <c r="K101" s="31" t="str">
        <f aca="false">IFERROR(IF(OR(H101="",I101=""),"",ROUND(I101/H101,2)),"")</f>
        <v/>
      </c>
      <c r="L101" s="22"/>
      <c r="M101" s="23"/>
      <c r="N101" s="24"/>
      <c r="O101" s="23"/>
      <c r="P101" s="23"/>
      <c r="Q101" s="32"/>
    </row>
    <row r="102" customFormat="false" ht="15" hidden="false" customHeight="true" outlineLevel="0" collapsed="false">
      <c r="A102" s="16" t="n">
        <v>820.833333</v>
      </c>
      <c r="B102" s="17" t="n">
        <v>197</v>
      </c>
      <c r="C102" s="17" t="n">
        <v>2</v>
      </c>
      <c r="D102" s="17" t="n">
        <v>3</v>
      </c>
      <c r="E102" s="17" t="n">
        <v>1</v>
      </c>
      <c r="F102" s="18" t="n">
        <v>2462.5</v>
      </c>
      <c r="G102" s="33"/>
      <c r="H102" s="20" t="str">
        <f aca="false">IFERROR(IF($F$5=0,"",ROUND(A102*$F$5/1000,3)),"")</f>
        <v/>
      </c>
      <c r="I102" s="18" t="str">
        <f aca="false">IFERROR(IF($F$6=0,"",ROUND($F$6*A102*($B$7/1000)^2,1)),"")</f>
        <v/>
      </c>
      <c r="J102" s="18" t="str">
        <f aca="false">IFERROR(IF(I102="","",ROUND(I102/$F$8,1)),"")</f>
        <v/>
      </c>
      <c r="K102" s="21" t="str">
        <f aca="false">IFERROR(IF(OR(H102="",I102=""),"",ROUND(I102/H102,2)),"")</f>
        <v/>
      </c>
      <c r="L102" s="22"/>
      <c r="M102" s="23"/>
      <c r="N102" s="24"/>
      <c r="O102" s="23"/>
      <c r="P102" s="23"/>
      <c r="Q102" s="25"/>
    </row>
    <row r="103" customFormat="false" ht="15" hidden="false" customHeight="true" outlineLevel="0" collapsed="false">
      <c r="A103" s="26" t="n">
        <v>825</v>
      </c>
      <c r="B103" s="27" t="n">
        <v>198</v>
      </c>
      <c r="C103" s="27" t="n">
        <v>2</v>
      </c>
      <c r="D103" s="27" t="n">
        <v>3</v>
      </c>
      <c r="E103" s="27" t="n">
        <v>1</v>
      </c>
      <c r="F103" s="28" t="n">
        <v>2475</v>
      </c>
      <c r="G103" s="19" t="s">
        <v>60</v>
      </c>
      <c r="H103" s="30" t="str">
        <f aca="false">IFERROR(IF($F$5=0,"",ROUND(A103*$F$5/1000,3)),"")</f>
        <v/>
      </c>
      <c r="I103" s="28" t="str">
        <f aca="false">IFERROR(IF($F$6=0,"",ROUND($F$6*A103*($B$7/1000)^2,1)),"")</f>
        <v/>
      </c>
      <c r="J103" s="28" t="str">
        <f aca="false">IFERROR(IF(I103="","",ROUND(I103/$F$8,1)),"")</f>
        <v/>
      </c>
      <c r="K103" s="31" t="str">
        <f aca="false">IFERROR(IF(OR(H103="",I103=""),"",ROUND(I103/H103,2)),"")</f>
        <v/>
      </c>
      <c r="L103" s="22"/>
      <c r="M103" s="23"/>
      <c r="N103" s="24"/>
      <c r="O103" s="23"/>
      <c r="P103" s="23"/>
      <c r="Q103" s="32"/>
    </row>
    <row r="104" customFormat="false" ht="15" hidden="false" customHeight="true" outlineLevel="0" collapsed="false">
      <c r="A104" s="16" t="n">
        <v>829.166667</v>
      </c>
      <c r="B104" s="17" t="n">
        <v>199</v>
      </c>
      <c r="C104" s="17" t="n">
        <v>2</v>
      </c>
      <c r="D104" s="17" t="n">
        <v>3</v>
      </c>
      <c r="E104" s="17" t="n">
        <v>1</v>
      </c>
      <c r="F104" s="18" t="n">
        <v>2487.5</v>
      </c>
      <c r="G104" s="33"/>
      <c r="H104" s="20" t="str">
        <f aca="false">IFERROR(IF($F$5=0,"",ROUND(A104*$F$5/1000,3)),"")</f>
        <v/>
      </c>
      <c r="I104" s="18" t="str">
        <f aca="false">IFERROR(IF($F$6=0,"",ROUND($F$6*A104*($B$7/1000)^2,1)),"")</f>
        <v/>
      </c>
      <c r="J104" s="18" t="str">
        <f aca="false">IFERROR(IF(I104="","",ROUND(I104/$F$8,1)),"")</f>
        <v/>
      </c>
      <c r="K104" s="21" t="str">
        <f aca="false">IFERROR(IF(OR(H104="",I104=""),"",ROUND(I104/H104,2)),"")</f>
        <v/>
      </c>
      <c r="L104" s="22"/>
      <c r="M104" s="23"/>
      <c r="N104" s="24"/>
      <c r="O104" s="23"/>
      <c r="P104" s="23"/>
      <c r="Q104" s="25"/>
    </row>
    <row r="105" customFormat="false" ht="15" hidden="false" customHeight="true" outlineLevel="0" collapsed="false">
      <c r="A105" s="26" t="n">
        <v>833.333333</v>
      </c>
      <c r="B105" s="27" t="n">
        <v>200</v>
      </c>
      <c r="C105" s="27" t="n">
        <v>2</v>
      </c>
      <c r="D105" s="27" t="n">
        <v>3</v>
      </c>
      <c r="E105" s="27" t="n">
        <v>1</v>
      </c>
      <c r="F105" s="28" t="n">
        <v>2500</v>
      </c>
      <c r="G105" s="29"/>
      <c r="H105" s="30" t="str">
        <f aca="false">IFERROR(IF($F$5=0,"",ROUND(A105*$F$5/1000,3)),"")</f>
        <v/>
      </c>
      <c r="I105" s="28" t="str">
        <f aca="false">IFERROR(IF($F$6=0,"",ROUND($F$6*A105*($B$7/1000)^2,1)),"")</f>
        <v/>
      </c>
      <c r="J105" s="28" t="str">
        <f aca="false">IFERROR(IF(I105="","",ROUND(I105/$F$8,1)),"")</f>
        <v/>
      </c>
      <c r="K105" s="31" t="str">
        <f aca="false">IFERROR(IF(OR(H105="",I105=""),"",ROUND(I105/H105,2)),"")</f>
        <v/>
      </c>
      <c r="L105" s="22"/>
      <c r="M105" s="23"/>
      <c r="N105" s="24"/>
      <c r="O105" s="23"/>
      <c r="P105" s="23"/>
      <c r="Q105" s="32"/>
    </row>
    <row r="106" customFormat="false" ht="15" hidden="false" customHeight="true" outlineLevel="0" collapsed="false">
      <c r="A106" s="16" t="n">
        <v>837.5</v>
      </c>
      <c r="B106" s="17" t="n">
        <v>201</v>
      </c>
      <c r="C106" s="17" t="n">
        <v>2</v>
      </c>
      <c r="D106" s="17" t="n">
        <v>3</v>
      </c>
      <c r="E106" s="17" t="n">
        <v>1</v>
      </c>
      <c r="F106" s="18" t="n">
        <v>2512.5</v>
      </c>
      <c r="G106" s="19" t="s">
        <v>60</v>
      </c>
      <c r="H106" s="20" t="str">
        <f aca="false">IFERROR(IF($F$5=0,"",ROUND(A106*$F$5/1000,3)),"")</f>
        <v/>
      </c>
      <c r="I106" s="18" t="str">
        <f aca="false">IFERROR(IF($F$6=0,"",ROUND($F$6*A106*($B$7/1000)^2,1)),"")</f>
        <v/>
      </c>
      <c r="J106" s="18" t="str">
        <f aca="false">IFERROR(IF(I106="","",ROUND(I106/$F$8,1)),"")</f>
        <v/>
      </c>
      <c r="K106" s="21" t="str">
        <f aca="false">IFERROR(IF(OR(H106="",I106=""),"",ROUND(I106/H106,2)),"")</f>
        <v/>
      </c>
      <c r="L106" s="22"/>
      <c r="M106" s="23"/>
      <c r="N106" s="24"/>
      <c r="O106" s="23"/>
      <c r="P106" s="23"/>
      <c r="Q106" s="25"/>
    </row>
    <row r="107" customFormat="false" ht="15" hidden="false" customHeight="true" outlineLevel="0" collapsed="false">
      <c r="A107" s="26" t="n">
        <v>841.666667</v>
      </c>
      <c r="B107" s="27" t="n">
        <v>202</v>
      </c>
      <c r="C107" s="27" t="n">
        <v>2</v>
      </c>
      <c r="D107" s="27" t="n">
        <v>3</v>
      </c>
      <c r="E107" s="27" t="n">
        <v>1</v>
      </c>
      <c r="F107" s="28" t="n">
        <v>2525</v>
      </c>
      <c r="G107" s="29"/>
      <c r="H107" s="30" t="str">
        <f aca="false">IFERROR(IF($F$5=0,"",ROUND(A107*$F$5/1000,3)),"")</f>
        <v/>
      </c>
      <c r="I107" s="28" t="str">
        <f aca="false">IFERROR(IF($F$6=0,"",ROUND($F$6*A107*($B$7/1000)^2,1)),"")</f>
        <v/>
      </c>
      <c r="J107" s="28" t="str">
        <f aca="false">IFERROR(IF(I107="","",ROUND(I107/$F$8,1)),"")</f>
        <v/>
      </c>
      <c r="K107" s="31" t="str">
        <f aca="false">IFERROR(IF(OR(H107="",I107=""),"",ROUND(I107/H107,2)),"")</f>
        <v/>
      </c>
      <c r="L107" s="22"/>
      <c r="M107" s="23"/>
      <c r="N107" s="24"/>
      <c r="O107" s="23"/>
      <c r="P107" s="23"/>
      <c r="Q107" s="32"/>
    </row>
    <row r="108" customFormat="false" ht="15" hidden="false" customHeight="true" outlineLevel="0" collapsed="false">
      <c r="A108" s="16" t="n">
        <v>845.833333</v>
      </c>
      <c r="B108" s="17" t="n">
        <v>203</v>
      </c>
      <c r="C108" s="17" t="n">
        <v>2</v>
      </c>
      <c r="D108" s="17" t="n">
        <v>3</v>
      </c>
      <c r="E108" s="17" t="n">
        <v>1</v>
      </c>
      <c r="F108" s="18" t="n">
        <v>2537.5</v>
      </c>
      <c r="G108" s="33"/>
      <c r="H108" s="20" t="str">
        <f aca="false">IFERROR(IF($F$5=0,"",ROUND(A108*$F$5/1000,3)),"")</f>
        <v/>
      </c>
      <c r="I108" s="18" t="str">
        <f aca="false">IFERROR(IF($F$6=0,"",ROUND($F$6*A108*($B$7/1000)^2,1)),"")</f>
        <v/>
      </c>
      <c r="J108" s="18" t="str">
        <f aca="false">IFERROR(IF(I108="","",ROUND(I108/$F$8,1)),"")</f>
        <v/>
      </c>
      <c r="K108" s="21" t="str">
        <f aca="false">IFERROR(IF(OR(H108="",I108=""),"",ROUND(I108/H108,2)),"")</f>
        <v/>
      </c>
      <c r="L108" s="22"/>
      <c r="M108" s="23"/>
      <c r="N108" s="24"/>
      <c r="O108" s="23"/>
      <c r="P108" s="23"/>
      <c r="Q108" s="25"/>
    </row>
    <row r="109" customFormat="false" ht="15" hidden="false" customHeight="true" outlineLevel="0" collapsed="false">
      <c r="A109" s="26" t="n">
        <v>850</v>
      </c>
      <c r="B109" s="27" t="n">
        <v>204</v>
      </c>
      <c r="C109" s="27" t="n">
        <v>2</v>
      </c>
      <c r="D109" s="27" t="n">
        <v>3</v>
      </c>
      <c r="E109" s="27" t="n">
        <v>1</v>
      </c>
      <c r="F109" s="28" t="n">
        <v>2550</v>
      </c>
      <c r="G109" s="19" t="s">
        <v>60</v>
      </c>
      <c r="H109" s="30" t="str">
        <f aca="false">IFERROR(IF($F$5=0,"",ROUND(A109*$F$5/1000,3)),"")</f>
        <v/>
      </c>
      <c r="I109" s="28" t="str">
        <f aca="false">IFERROR(IF($F$6=0,"",ROUND($F$6*A109*($B$7/1000)^2,1)),"")</f>
        <v/>
      </c>
      <c r="J109" s="28" t="str">
        <f aca="false">IFERROR(IF(I109="","",ROUND(I109/$F$8,1)),"")</f>
        <v/>
      </c>
      <c r="K109" s="31" t="str">
        <f aca="false">IFERROR(IF(OR(H109="",I109=""),"",ROUND(I109/H109,2)),"")</f>
        <v/>
      </c>
      <c r="L109" s="22"/>
      <c r="M109" s="23"/>
      <c r="N109" s="24"/>
      <c r="O109" s="23"/>
      <c r="P109" s="23"/>
      <c r="Q109" s="32"/>
    </row>
    <row r="110" customFormat="false" ht="15" hidden="false" customHeight="true" outlineLevel="0" collapsed="false">
      <c r="A110" s="16" t="n">
        <v>854.166667</v>
      </c>
      <c r="B110" s="17" t="n">
        <v>205</v>
      </c>
      <c r="C110" s="17" t="n">
        <v>2</v>
      </c>
      <c r="D110" s="17" t="n">
        <v>3</v>
      </c>
      <c r="E110" s="17" t="n">
        <v>1</v>
      </c>
      <c r="F110" s="18" t="n">
        <v>2562.5</v>
      </c>
      <c r="G110" s="33"/>
      <c r="H110" s="20" t="str">
        <f aca="false">IFERROR(IF($F$5=0,"",ROUND(A110*$F$5/1000,3)),"")</f>
        <v/>
      </c>
      <c r="I110" s="18" t="str">
        <f aca="false">IFERROR(IF($F$6=0,"",ROUND($F$6*A110*($B$7/1000)^2,1)),"")</f>
        <v/>
      </c>
      <c r="J110" s="18" t="str">
        <f aca="false">IFERROR(IF(I110="","",ROUND(I110/$F$8,1)),"")</f>
        <v/>
      </c>
      <c r="K110" s="21" t="str">
        <f aca="false">IFERROR(IF(OR(H110="",I110=""),"",ROUND(I110/H110,2)),"")</f>
        <v/>
      </c>
      <c r="L110" s="22"/>
      <c r="M110" s="23"/>
      <c r="N110" s="24"/>
      <c r="O110" s="23"/>
      <c r="P110" s="23"/>
      <c r="Q110" s="25"/>
    </row>
    <row r="111" customFormat="false" ht="15" hidden="false" customHeight="true" outlineLevel="0" collapsed="false">
      <c r="A111" s="26" t="n">
        <v>858.333333</v>
      </c>
      <c r="B111" s="27" t="n">
        <v>206</v>
      </c>
      <c r="C111" s="27" t="n">
        <v>2</v>
      </c>
      <c r="D111" s="27" t="n">
        <v>3</v>
      </c>
      <c r="E111" s="27" t="n">
        <v>1</v>
      </c>
      <c r="F111" s="28" t="n">
        <v>2575</v>
      </c>
      <c r="G111" s="29"/>
      <c r="H111" s="30" t="str">
        <f aca="false">IFERROR(IF($F$5=0,"",ROUND(A111*$F$5/1000,3)),"")</f>
        <v/>
      </c>
      <c r="I111" s="28" t="str">
        <f aca="false">IFERROR(IF($F$6=0,"",ROUND($F$6*A111*($B$7/1000)^2,1)),"")</f>
        <v/>
      </c>
      <c r="J111" s="28" t="str">
        <f aca="false">IFERROR(IF(I111="","",ROUND(I111/$F$8,1)),"")</f>
        <v/>
      </c>
      <c r="K111" s="31" t="str">
        <f aca="false">IFERROR(IF(OR(H111="",I111=""),"",ROUND(I111/H111,2)),"")</f>
        <v/>
      </c>
      <c r="L111" s="22"/>
      <c r="M111" s="23"/>
      <c r="N111" s="24"/>
      <c r="O111" s="23"/>
      <c r="P111" s="23"/>
      <c r="Q111" s="32"/>
    </row>
    <row r="112" customFormat="false" ht="15" hidden="false" customHeight="true" outlineLevel="0" collapsed="false">
      <c r="A112" s="16" t="n">
        <v>862.5</v>
      </c>
      <c r="B112" s="17" t="n">
        <v>207</v>
      </c>
      <c r="C112" s="17" t="n">
        <v>2</v>
      </c>
      <c r="D112" s="17" t="n">
        <v>3</v>
      </c>
      <c r="E112" s="17" t="n">
        <v>1</v>
      </c>
      <c r="F112" s="18" t="n">
        <v>2587.5</v>
      </c>
      <c r="G112" s="19" t="s">
        <v>60</v>
      </c>
      <c r="H112" s="20" t="str">
        <f aca="false">IFERROR(IF($F$5=0,"",ROUND(A112*$F$5/1000,3)),"")</f>
        <v/>
      </c>
      <c r="I112" s="18" t="str">
        <f aca="false">IFERROR(IF($F$6=0,"",ROUND($F$6*A112*($B$7/1000)^2,1)),"")</f>
        <v/>
      </c>
      <c r="J112" s="18" t="str">
        <f aca="false">IFERROR(IF(I112="","",ROUND(I112/$F$8,1)),"")</f>
        <v/>
      </c>
      <c r="K112" s="21" t="str">
        <f aca="false">IFERROR(IF(OR(H112="",I112=""),"",ROUND(I112/H112,2)),"")</f>
        <v/>
      </c>
      <c r="L112" s="22"/>
      <c r="M112" s="23"/>
      <c r="N112" s="24"/>
      <c r="O112" s="23"/>
      <c r="P112" s="23"/>
      <c r="Q112" s="25"/>
    </row>
    <row r="113" customFormat="false" ht="15" hidden="false" customHeight="true" outlineLevel="0" collapsed="false">
      <c r="A113" s="26" t="n">
        <v>866.666667</v>
      </c>
      <c r="B113" s="27" t="n">
        <v>208</v>
      </c>
      <c r="C113" s="27" t="n">
        <v>2</v>
      </c>
      <c r="D113" s="27" t="n">
        <v>3</v>
      </c>
      <c r="E113" s="27" t="n">
        <v>1</v>
      </c>
      <c r="F113" s="28" t="n">
        <v>2600</v>
      </c>
      <c r="G113" s="29"/>
      <c r="H113" s="30" t="str">
        <f aca="false">IFERROR(IF($F$5=0,"",ROUND(A113*$F$5/1000,3)),"")</f>
        <v/>
      </c>
      <c r="I113" s="28" t="str">
        <f aca="false">IFERROR(IF($F$6=0,"",ROUND($F$6*A113*($B$7/1000)^2,1)),"")</f>
        <v/>
      </c>
      <c r="J113" s="28" t="str">
        <f aca="false">IFERROR(IF(I113="","",ROUND(I113/$F$8,1)),"")</f>
        <v/>
      </c>
      <c r="K113" s="31" t="str">
        <f aca="false">IFERROR(IF(OR(H113="",I113=""),"",ROUND(I113/H113,2)),"")</f>
        <v/>
      </c>
      <c r="L113" s="22"/>
      <c r="M113" s="23"/>
      <c r="N113" s="24"/>
      <c r="O113" s="23"/>
      <c r="P113" s="23"/>
      <c r="Q113" s="32"/>
    </row>
    <row r="114" customFormat="false" ht="15" hidden="false" customHeight="true" outlineLevel="0" collapsed="false">
      <c r="A114" s="16" t="n">
        <v>870.833333</v>
      </c>
      <c r="B114" s="17" t="n">
        <v>209</v>
      </c>
      <c r="C114" s="17" t="n">
        <v>2</v>
      </c>
      <c r="D114" s="17" t="n">
        <v>3</v>
      </c>
      <c r="E114" s="17" t="n">
        <v>1</v>
      </c>
      <c r="F114" s="18" t="n">
        <v>2612.5</v>
      </c>
      <c r="G114" s="33"/>
      <c r="H114" s="20" t="str">
        <f aca="false">IFERROR(IF($F$5=0,"",ROUND(A114*$F$5/1000,3)),"")</f>
        <v/>
      </c>
      <c r="I114" s="18" t="str">
        <f aca="false">IFERROR(IF($F$6=0,"",ROUND($F$6*A114*($B$7/1000)^2,1)),"")</f>
        <v/>
      </c>
      <c r="J114" s="18" t="str">
        <f aca="false">IFERROR(IF(I114="","",ROUND(I114/$F$8,1)),"")</f>
        <v/>
      </c>
      <c r="K114" s="21" t="str">
        <f aca="false">IFERROR(IF(OR(H114="",I114=""),"",ROUND(I114/H114,2)),"")</f>
        <v/>
      </c>
      <c r="L114" s="22"/>
      <c r="M114" s="23"/>
      <c r="N114" s="24"/>
      <c r="O114" s="23"/>
      <c r="P114" s="23"/>
      <c r="Q114" s="25"/>
    </row>
    <row r="115" customFormat="false" ht="15" hidden="false" customHeight="true" outlineLevel="0" collapsed="false">
      <c r="A115" s="26" t="n">
        <v>875</v>
      </c>
      <c r="B115" s="27" t="n">
        <v>210</v>
      </c>
      <c r="C115" s="27" t="n">
        <v>2</v>
      </c>
      <c r="D115" s="27" t="n">
        <v>3</v>
      </c>
      <c r="E115" s="27" t="n">
        <v>1</v>
      </c>
      <c r="F115" s="28" t="n">
        <v>2625</v>
      </c>
      <c r="G115" s="19" t="s">
        <v>60</v>
      </c>
      <c r="H115" s="30" t="str">
        <f aca="false">IFERROR(IF($F$5=0,"",ROUND(A115*$F$5/1000,3)),"")</f>
        <v/>
      </c>
      <c r="I115" s="28" t="str">
        <f aca="false">IFERROR(IF($F$6=0,"",ROUND($F$6*A115*($B$7/1000)^2,1)),"")</f>
        <v/>
      </c>
      <c r="J115" s="28" t="str">
        <f aca="false">IFERROR(IF(I115="","",ROUND(I115/$F$8,1)),"")</f>
        <v/>
      </c>
      <c r="K115" s="31" t="str">
        <f aca="false">IFERROR(IF(OR(H115="",I115=""),"",ROUND(I115/H115,2)),"")</f>
        <v/>
      </c>
      <c r="L115" s="22"/>
      <c r="M115" s="23"/>
      <c r="N115" s="24"/>
      <c r="O115" s="23"/>
      <c r="P115" s="23"/>
      <c r="Q115" s="32"/>
    </row>
    <row r="116" customFormat="false" ht="15" hidden="false" customHeight="true" outlineLevel="0" collapsed="false">
      <c r="A116" s="16" t="n">
        <v>879.166667</v>
      </c>
      <c r="B116" s="17" t="n">
        <v>211</v>
      </c>
      <c r="C116" s="17" t="n">
        <v>2</v>
      </c>
      <c r="D116" s="17" t="n">
        <v>3</v>
      </c>
      <c r="E116" s="17" t="n">
        <v>1</v>
      </c>
      <c r="F116" s="18" t="n">
        <v>2637.5</v>
      </c>
      <c r="G116" s="33"/>
      <c r="H116" s="20" t="str">
        <f aca="false">IFERROR(IF($F$5=0,"",ROUND(A116*$F$5/1000,3)),"")</f>
        <v/>
      </c>
      <c r="I116" s="18" t="str">
        <f aca="false">IFERROR(IF($F$6=0,"",ROUND($F$6*A116*($B$7/1000)^2,1)),"")</f>
        <v/>
      </c>
      <c r="J116" s="18" t="str">
        <f aca="false">IFERROR(IF(I116="","",ROUND(I116/$F$8,1)),"")</f>
        <v/>
      </c>
      <c r="K116" s="21" t="str">
        <f aca="false">IFERROR(IF(OR(H116="",I116=""),"",ROUND(I116/H116,2)),"")</f>
        <v/>
      </c>
      <c r="L116" s="22"/>
      <c r="M116" s="23"/>
      <c r="N116" s="24"/>
      <c r="O116" s="23"/>
      <c r="P116" s="23"/>
      <c r="Q116" s="25"/>
    </row>
    <row r="117" customFormat="false" ht="15" hidden="false" customHeight="true" outlineLevel="0" collapsed="false">
      <c r="A117" s="26" t="n">
        <v>883.333333</v>
      </c>
      <c r="B117" s="27" t="n">
        <v>212</v>
      </c>
      <c r="C117" s="27" t="n">
        <v>2</v>
      </c>
      <c r="D117" s="27" t="n">
        <v>3</v>
      </c>
      <c r="E117" s="27" t="n">
        <v>1</v>
      </c>
      <c r="F117" s="28" t="n">
        <v>2650</v>
      </c>
      <c r="G117" s="29"/>
      <c r="H117" s="30" t="str">
        <f aca="false">IFERROR(IF($F$5=0,"",ROUND(A117*$F$5/1000,3)),"")</f>
        <v/>
      </c>
      <c r="I117" s="28" t="str">
        <f aca="false">IFERROR(IF($F$6=0,"",ROUND($F$6*A117*($B$7/1000)^2,1)),"")</f>
        <v/>
      </c>
      <c r="J117" s="28" t="str">
        <f aca="false">IFERROR(IF(I117="","",ROUND(I117/$F$8,1)),"")</f>
        <v/>
      </c>
      <c r="K117" s="31" t="str">
        <f aca="false">IFERROR(IF(OR(H117="",I117=""),"",ROUND(I117/H117,2)),"")</f>
        <v/>
      </c>
      <c r="L117" s="22"/>
      <c r="M117" s="23"/>
      <c r="N117" s="24"/>
      <c r="O117" s="23"/>
      <c r="P117" s="23"/>
      <c r="Q117" s="32"/>
    </row>
    <row r="118" customFormat="false" ht="15" hidden="false" customHeight="true" outlineLevel="0" collapsed="false">
      <c r="A118" s="16" t="n">
        <v>887.5</v>
      </c>
      <c r="B118" s="17" t="n">
        <v>213</v>
      </c>
      <c r="C118" s="17" t="n">
        <v>2</v>
      </c>
      <c r="D118" s="17" t="n">
        <v>3</v>
      </c>
      <c r="E118" s="17" t="n">
        <v>1</v>
      </c>
      <c r="F118" s="18" t="n">
        <v>2662.5</v>
      </c>
      <c r="G118" s="19" t="s">
        <v>60</v>
      </c>
      <c r="H118" s="20" t="str">
        <f aca="false">IFERROR(IF($F$5=0,"",ROUND(A118*$F$5/1000,3)),"")</f>
        <v/>
      </c>
      <c r="I118" s="18" t="str">
        <f aca="false">IFERROR(IF($F$6=0,"",ROUND($F$6*A118*($B$7/1000)^2,1)),"")</f>
        <v/>
      </c>
      <c r="J118" s="18" t="str">
        <f aca="false">IFERROR(IF(I118="","",ROUND(I118/$F$8,1)),"")</f>
        <v/>
      </c>
      <c r="K118" s="21" t="str">
        <f aca="false">IFERROR(IF(OR(H118="",I118=""),"",ROUND(I118/H118,2)),"")</f>
        <v/>
      </c>
      <c r="L118" s="22"/>
      <c r="M118" s="23"/>
      <c r="N118" s="24"/>
      <c r="O118" s="23"/>
      <c r="P118" s="23"/>
      <c r="Q118" s="25"/>
    </row>
    <row r="119" customFormat="false" ht="15" hidden="false" customHeight="true" outlineLevel="0" collapsed="false">
      <c r="A119" s="26" t="n">
        <v>891.666667</v>
      </c>
      <c r="B119" s="27" t="n">
        <v>214</v>
      </c>
      <c r="C119" s="27" t="n">
        <v>2</v>
      </c>
      <c r="D119" s="27" t="n">
        <v>3</v>
      </c>
      <c r="E119" s="27" t="n">
        <v>1</v>
      </c>
      <c r="F119" s="28" t="n">
        <v>2675</v>
      </c>
      <c r="G119" s="29"/>
      <c r="H119" s="30" t="str">
        <f aca="false">IFERROR(IF($F$5=0,"",ROUND(A119*$F$5/1000,3)),"")</f>
        <v/>
      </c>
      <c r="I119" s="28" t="str">
        <f aca="false">IFERROR(IF($F$6=0,"",ROUND($F$6*A119*($B$7/1000)^2,1)),"")</f>
        <v/>
      </c>
      <c r="J119" s="28" t="str">
        <f aca="false">IFERROR(IF(I119="","",ROUND(I119/$F$8,1)),"")</f>
        <v/>
      </c>
      <c r="K119" s="31" t="str">
        <f aca="false">IFERROR(IF(OR(H119="",I119=""),"",ROUND(I119/H119,2)),"")</f>
        <v/>
      </c>
      <c r="L119" s="22"/>
      <c r="M119" s="23"/>
      <c r="N119" s="24"/>
      <c r="O119" s="23"/>
      <c r="P119" s="23"/>
      <c r="Q119" s="32"/>
    </row>
    <row r="120" customFormat="false" ht="15" hidden="false" customHeight="true" outlineLevel="0" collapsed="false">
      <c r="A120" s="16" t="n">
        <v>895.833333</v>
      </c>
      <c r="B120" s="17" t="n">
        <v>215</v>
      </c>
      <c r="C120" s="17" t="n">
        <v>2</v>
      </c>
      <c r="D120" s="17" t="n">
        <v>3</v>
      </c>
      <c r="E120" s="17" t="n">
        <v>1</v>
      </c>
      <c r="F120" s="18" t="n">
        <v>2687.5</v>
      </c>
      <c r="G120" s="33"/>
      <c r="H120" s="20" t="str">
        <f aca="false">IFERROR(IF($F$5=0,"",ROUND(A120*$F$5/1000,3)),"")</f>
        <v/>
      </c>
      <c r="I120" s="18" t="str">
        <f aca="false">IFERROR(IF($F$6=0,"",ROUND($F$6*A120*($B$7/1000)^2,1)),"")</f>
        <v/>
      </c>
      <c r="J120" s="18" t="str">
        <f aca="false">IFERROR(IF(I120="","",ROUND(I120/$F$8,1)),"")</f>
        <v/>
      </c>
      <c r="K120" s="21" t="str">
        <f aca="false">IFERROR(IF(OR(H120="",I120=""),"",ROUND(I120/H120,2)),"")</f>
        <v/>
      </c>
      <c r="L120" s="22"/>
      <c r="M120" s="23"/>
      <c r="N120" s="24"/>
      <c r="O120" s="23"/>
      <c r="P120" s="23"/>
      <c r="Q120" s="25"/>
    </row>
    <row r="121" customFormat="false" ht="15" hidden="false" customHeight="true" outlineLevel="0" collapsed="false">
      <c r="A121" s="26" t="n">
        <v>900</v>
      </c>
      <c r="B121" s="27" t="n">
        <v>144</v>
      </c>
      <c r="C121" s="27" t="n">
        <v>2</v>
      </c>
      <c r="D121" s="27" t="n">
        <v>2</v>
      </c>
      <c r="E121" s="27" t="n">
        <v>1</v>
      </c>
      <c r="F121" s="28" t="n">
        <v>1800</v>
      </c>
      <c r="G121" s="19" t="s">
        <v>60</v>
      </c>
      <c r="H121" s="30" t="str">
        <f aca="false">IFERROR(IF($F$5=0,"",ROUND(A121*$F$5/1000,3)),"")</f>
        <v/>
      </c>
      <c r="I121" s="28" t="str">
        <f aca="false">IFERROR(IF($F$6=0,"",ROUND($F$6*A121*($B$7/1000)^2,1)),"")</f>
        <v/>
      </c>
      <c r="J121" s="28" t="str">
        <f aca="false">IFERROR(IF(I121="","",ROUND(I121/$F$8,1)),"")</f>
        <v/>
      </c>
      <c r="K121" s="31" t="str">
        <f aca="false">IFERROR(IF(OR(H121="",I121=""),"",ROUND(I121/H121,2)),"")</f>
        <v/>
      </c>
      <c r="L121" s="22"/>
      <c r="M121" s="23"/>
      <c r="N121" s="24"/>
      <c r="O121" s="23"/>
      <c r="P121" s="23"/>
      <c r="Q121" s="32"/>
    </row>
  </sheetData>
  <mergeCells count="13">
    <mergeCell ref="A1:Q1"/>
    <mergeCell ref="A2:Q2"/>
    <mergeCell ref="A4:D4"/>
    <mergeCell ref="E4:H4"/>
    <mergeCell ref="I4:Q4"/>
    <mergeCell ref="I5:Q5"/>
    <mergeCell ref="I6:Q6"/>
    <mergeCell ref="I7:Q7"/>
    <mergeCell ref="I8:Q8"/>
    <mergeCell ref="I9:Q9"/>
    <mergeCell ref="I10:Q10"/>
    <mergeCell ref="I11:Q11"/>
    <mergeCell ref="A13:Q13"/>
  </mergeCells>
  <conditionalFormatting sqref="A16:A121">
    <cfRule type="expression" priority="2" aboveAverage="0" equalAverage="0" bottom="0" percent="0" rank="0" text="" dxfId="0">
      <formula>AND($B$5&gt;0,ABS($A16-$B$5)=MIN(ABS($A$16:$A$121-$B$5)))</formula>
    </cfRule>
  </conditionalFormatting>
  <conditionalFormatting sqref="B16:B121">
    <cfRule type="expression" priority="3" aboveAverage="0" equalAverage="0" bottom="0" percent="0" rank="0" text="" dxfId="0">
      <formula>AND($B$5&gt;0,ABS($A16-$B$5)=MIN(ABS($A$16:$A$121-$B$5)))</formula>
    </cfRule>
  </conditionalFormatting>
  <conditionalFormatting sqref="C16:C121">
    <cfRule type="expression" priority="4" aboveAverage="0" equalAverage="0" bottom="0" percent="0" rank="0" text="" dxfId="0">
      <formula>AND($B$5&gt;0,ABS($A16-$B$5)=MIN(ABS($A$16:$A$121-$B$5)))</formula>
    </cfRule>
  </conditionalFormatting>
  <conditionalFormatting sqref="D16:D121">
    <cfRule type="expression" priority="5" aboveAverage="0" equalAverage="0" bottom="0" percent="0" rank="0" text="" dxfId="0">
      <formula>AND($B$5&gt;0,ABS($A16-$B$5)=MIN(ABS($A$16:$A$121-$B$5)))</formula>
    </cfRule>
  </conditionalFormatting>
  <conditionalFormatting sqref="E16:E121">
    <cfRule type="expression" priority="6" aboveAverage="0" equalAverage="0" bottom="0" percent="0" rank="0" text="" dxfId="0">
      <formula>AND($B$5&gt;0,ABS($A16-$B$5)=MIN(ABS($A$16:$A$121-$B$5)))</formula>
    </cfRule>
  </conditionalFormatting>
  <conditionalFormatting sqref="F16:F121">
    <cfRule type="expression" priority="7" aboveAverage="0" equalAverage="0" bottom="0" percent="0" rank="0" text="" dxfId="0">
      <formula>AND($B$5&gt;0,ABS($A16-$B$5)=MIN(ABS($A$16:$A$121-$B$5)))</formula>
    </cfRule>
  </conditionalFormatting>
  <conditionalFormatting sqref="G16:G121">
    <cfRule type="expression" priority="8" aboveAverage="0" equalAverage="0" bottom="0" percent="0" rank="0" text="" dxfId="0">
      <formula>AND($B$5&gt;0,ABS($A16-$B$5)=MIN(ABS($A$16:$A$121-$B$5)))</formula>
    </cfRule>
  </conditionalFormatting>
  <conditionalFormatting sqref="H16:H121">
    <cfRule type="expression" priority="9" aboveAverage="0" equalAverage="0" bottom="0" percent="0" rank="0" text="" dxfId="0">
      <formula>AND($B$5&gt;0,ABS($A16-$B$5)=MIN(ABS($A$16:$A$121-$B$5)))</formula>
    </cfRule>
  </conditionalFormatting>
  <conditionalFormatting sqref="I16:I121">
    <cfRule type="expression" priority="10" aboveAverage="0" equalAverage="0" bottom="0" percent="0" rank="0" text="" dxfId="0">
      <formula>AND($B$5&gt;0,ABS($A16-$B$5)=MIN(ABS($A$16:$A$121-$B$5)))</formula>
    </cfRule>
  </conditionalFormatting>
  <conditionalFormatting sqref="J16:J121">
    <cfRule type="expression" priority="11" aboveAverage="0" equalAverage="0" bottom="0" percent="0" rank="0" text="" dxfId="0">
      <formula>AND($B$5&gt;0,ABS($A16-$B$5)=MIN(ABS($A$16:$A$121-$B$5)))</formula>
    </cfRule>
  </conditionalFormatting>
  <conditionalFormatting sqref="K16:K121">
    <cfRule type="expression" priority="12" aboveAverage="0" equalAverage="0" bottom="0" percent="0" rank="0" text="" dxfId="0">
      <formula>AND($B$5&gt;0,ABS($A16-$B$5)=MIN(ABS($A$16:$A$121-$B$5)))</formula>
    </cfRule>
  </conditionalFormatting>
  <conditionalFormatting sqref="L16:L121">
    <cfRule type="expression" priority="13" aboveAverage="0" equalAverage="0" bottom="0" percent="0" rank="0" text="" dxfId="0">
      <formula>AND($B$5&gt;0,ABS($A16-$B$5)=MIN(ABS($A$16:$A$121-$B$5)))</formula>
    </cfRule>
  </conditionalFormatting>
  <conditionalFormatting sqref="M16:M121">
    <cfRule type="expression" priority="14" aboveAverage="0" equalAverage="0" bottom="0" percent="0" rank="0" text="" dxfId="0">
      <formula>AND($B$5&gt;0,ABS($A16-$B$5)=MIN(ABS($A$16:$A$121-$B$5)))</formula>
    </cfRule>
  </conditionalFormatting>
  <conditionalFormatting sqref="N16:N121">
    <cfRule type="expression" priority="15" aboveAverage="0" equalAverage="0" bottom="0" percent="0" rank="0" text="" dxfId="0">
      <formula>AND($B$5&gt;0,ABS($A16-$B$5)=MIN(ABS($A$16:$A$121-$B$5)))</formula>
    </cfRule>
    <cfRule type="cellIs" priority="16" operator="greaterThan" aboveAverage="0" equalAverage="0" bottom="0" percent="0" rank="0" text="" dxfId="1">
      <formula>0.05</formula>
    </cfRule>
    <cfRule type="cellIs" priority="17" operator="greaterThan" aboveAverage="0" equalAverage="0" bottom="0" percent="0" rank="0" text="" dxfId="2">
      <formula>0.1</formula>
    </cfRule>
  </conditionalFormatting>
  <conditionalFormatting sqref="O16:O121">
    <cfRule type="expression" priority="18" aboveAverage="0" equalAverage="0" bottom="0" percent="0" rank="0" text="" dxfId="0">
      <formula>AND($B$5&gt;0,ABS($A16-$B$5)=MIN(ABS($A$16:$A$121-$B$5)))</formula>
    </cfRule>
    <cfRule type="cellIs" priority="19" operator="greaterThanOrEqual" aboveAverage="0" equalAverage="0" bottom="0" percent="0" rank="0" text="" dxfId="3">
      <formula>60</formula>
    </cfRule>
    <cfRule type="cellIs" priority="20" operator="greaterThanOrEqual" aboveAverage="0" equalAverage="0" bottom="0" percent="0" rank="0" text="" dxfId="2">
      <formula>63</formula>
    </cfRule>
  </conditionalFormatting>
  <conditionalFormatting sqref="P16:P121">
    <cfRule type="expression" priority="21" aboveAverage="0" equalAverage="0" bottom="0" percent="0" rank="0" text="" dxfId="0">
      <formula>AND($B$5&gt;0,ABS($A16-$B$5)=MIN(ABS($A$16:$A$121-$B$5)))</formula>
    </cfRule>
  </conditionalFormatting>
  <conditionalFormatting sqref="Q16:Q121">
    <cfRule type="expression" priority="22" aboveAverage="0" equalAverage="0" bottom="0" percent="0" rank="0" text="" dxfId="0">
      <formula>AND($B$5&gt;0,ABS($A16-$B$5)=MIN(ABS($A$16:$A$121-$B$5)))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2"/>
  </cols>
  <sheetData>
    <row r="1" customFormat="false" ht="19.5" hidden="false" customHeight="true" outlineLevel="0" collapsed="false">
      <c r="A1" s="34" t="s">
        <v>65</v>
      </c>
      <c r="B1" s="34"/>
    </row>
    <row r="2" customFormat="false" ht="15.75" hidden="false" customHeight="true" outlineLevel="0" collapsed="false">
      <c r="A2" s="35"/>
      <c r="B2" s="35"/>
    </row>
    <row r="3" customFormat="false" ht="19.5" hidden="false" customHeight="true" outlineLevel="0" collapsed="false">
      <c r="A3" s="36" t="s">
        <v>66</v>
      </c>
      <c r="B3" s="36"/>
    </row>
    <row r="4" customFormat="false" ht="15.75" hidden="false" customHeight="true" outlineLevel="0" collapsed="false">
      <c r="A4" s="37" t="s">
        <v>67</v>
      </c>
      <c r="B4" s="37" t="s">
        <v>68</v>
      </c>
    </row>
    <row r="5" customFormat="false" ht="15.75" hidden="false" customHeight="true" outlineLevel="0" collapsed="false">
      <c r="A5" s="38" t="s">
        <v>69</v>
      </c>
      <c r="B5" s="38" t="s">
        <v>70</v>
      </c>
    </row>
    <row r="6" customFormat="false" ht="15.75" hidden="false" customHeight="true" outlineLevel="0" collapsed="false">
      <c r="A6" s="35"/>
      <c r="B6" s="35"/>
    </row>
    <row r="7" customFormat="false" ht="19.5" hidden="false" customHeight="true" outlineLevel="0" collapsed="false">
      <c r="A7" s="36" t="s">
        <v>71</v>
      </c>
      <c r="B7" s="36"/>
    </row>
    <row r="8" customFormat="false" ht="15.75" hidden="false" customHeight="true" outlineLevel="0" collapsed="false">
      <c r="A8" s="39" t="s">
        <v>72</v>
      </c>
      <c r="B8" s="39" t="s">
        <v>73</v>
      </c>
    </row>
    <row r="9" customFormat="false" ht="15.75" hidden="false" customHeight="true" outlineLevel="0" collapsed="false">
      <c r="A9" s="40" t="s">
        <v>74</v>
      </c>
      <c r="B9" s="40" t="s">
        <v>75</v>
      </c>
    </row>
    <row r="10" customFormat="false" ht="15.75" hidden="false" customHeight="true" outlineLevel="0" collapsed="false">
      <c r="A10" s="41" t="s">
        <v>76</v>
      </c>
      <c r="B10" s="41" t="s">
        <v>77</v>
      </c>
    </row>
    <row r="11" customFormat="false" ht="15.75" hidden="false" customHeight="true" outlineLevel="0" collapsed="false">
      <c r="A11" s="42" t="s">
        <v>78</v>
      </c>
      <c r="B11" s="42" t="s">
        <v>79</v>
      </c>
    </row>
    <row r="12" customFormat="false" ht="15.75" hidden="false" customHeight="true" outlineLevel="0" collapsed="false">
      <c r="A12" s="43" t="s">
        <v>80</v>
      </c>
      <c r="B12" s="43" t="s">
        <v>81</v>
      </c>
    </row>
    <row r="13" customFormat="false" ht="15.75" hidden="false" customHeight="true" outlineLevel="0" collapsed="false">
      <c r="A13" s="44" t="s">
        <v>82</v>
      </c>
      <c r="B13" s="44" t="s">
        <v>83</v>
      </c>
    </row>
    <row r="14" customFormat="false" ht="15.75" hidden="false" customHeight="true" outlineLevel="0" collapsed="false">
      <c r="A14" s="43" t="s">
        <v>84</v>
      </c>
      <c r="B14" s="43" t="s">
        <v>85</v>
      </c>
    </row>
    <row r="15" customFormat="false" ht="15.75" hidden="false" customHeight="true" outlineLevel="0" collapsed="false">
      <c r="A15" s="35"/>
      <c r="B15" s="35"/>
    </row>
    <row r="16" customFormat="false" ht="19.5" hidden="false" customHeight="true" outlineLevel="0" collapsed="false">
      <c r="A16" s="36" t="s">
        <v>86</v>
      </c>
      <c r="B16" s="36"/>
    </row>
    <row r="17" customFormat="false" ht="15.75" hidden="false" customHeight="true" outlineLevel="0" collapsed="false">
      <c r="A17" s="45" t="s">
        <v>87</v>
      </c>
      <c r="B17" s="45" t="s">
        <v>88</v>
      </c>
    </row>
    <row r="18" customFormat="false" ht="15.75" hidden="false" customHeight="true" outlineLevel="0" collapsed="false">
      <c r="A18" s="35" t="s">
        <v>89</v>
      </c>
      <c r="B18" s="35" t="s">
        <v>90</v>
      </c>
    </row>
    <row r="19" customFormat="false" ht="15.75" hidden="false" customHeight="true" outlineLevel="0" collapsed="false">
      <c r="A19" s="45" t="s">
        <v>91</v>
      </c>
      <c r="B19" s="45" t="s">
        <v>92</v>
      </c>
    </row>
    <row r="20" customFormat="false" ht="15.75" hidden="false" customHeight="true" outlineLevel="0" collapsed="false">
      <c r="A20" s="35"/>
      <c r="B20" s="35"/>
    </row>
    <row r="21" customFormat="false" ht="19.5" hidden="false" customHeight="true" outlineLevel="0" collapsed="false">
      <c r="A21" s="36" t="s">
        <v>93</v>
      </c>
      <c r="B21" s="36"/>
    </row>
    <row r="22" customFormat="false" ht="15.75" hidden="false" customHeight="true" outlineLevel="0" collapsed="false">
      <c r="A22" s="45" t="s">
        <v>94</v>
      </c>
      <c r="B22" s="45" t="s">
        <v>95</v>
      </c>
    </row>
    <row r="23" customFormat="false" ht="15.75" hidden="false" customHeight="true" outlineLevel="0" collapsed="false">
      <c r="A23" s="35" t="s">
        <v>96</v>
      </c>
      <c r="B23" s="35" t="s">
        <v>97</v>
      </c>
    </row>
    <row r="24" customFormat="false" ht="15.75" hidden="false" customHeight="true" outlineLevel="0" collapsed="false">
      <c r="A24" s="45" t="s">
        <v>98</v>
      </c>
      <c r="B24" s="45" t="s">
        <v>99</v>
      </c>
    </row>
    <row r="25" customFormat="false" ht="15.75" hidden="false" customHeight="true" outlineLevel="0" collapsed="false">
      <c r="A25" s="35" t="s">
        <v>100</v>
      </c>
      <c r="B25" s="35" t="s">
        <v>101</v>
      </c>
    </row>
    <row r="26" customFormat="false" ht="19.5" hidden="false" customHeight="true" outlineLevel="0" collapsed="false">
      <c r="A26" s="34" t="s">
        <v>102</v>
      </c>
      <c r="B26" s="34"/>
    </row>
    <row r="27" customFormat="false" ht="15.75" hidden="false" customHeight="true" outlineLevel="0" collapsed="false">
      <c r="A27" s="45" t="s">
        <v>103</v>
      </c>
      <c r="B27" s="45" t="s">
        <v>104</v>
      </c>
    </row>
    <row r="28" customFormat="false" ht="15.75" hidden="false" customHeight="true" outlineLevel="0" collapsed="false">
      <c r="A28" s="35" t="s">
        <v>105</v>
      </c>
      <c r="B28" s="35" t="s">
        <v>106</v>
      </c>
    </row>
    <row r="29" customFormat="false" ht="15.75" hidden="false" customHeight="true" outlineLevel="0" collapsed="false">
      <c r="A29" s="45" t="s">
        <v>107</v>
      </c>
      <c r="B29" s="45" t="s">
        <v>108</v>
      </c>
    </row>
    <row r="30" customFormat="false" ht="15.75" hidden="false" customHeight="true" outlineLevel="0" collapsed="false">
      <c r="A30" s="35" t="s">
        <v>109</v>
      </c>
      <c r="B30" s="35" t="s">
        <v>110</v>
      </c>
    </row>
    <row r="31" customFormat="false" ht="15.75" hidden="false" customHeight="true" outlineLevel="0" collapsed="false">
      <c r="A31" s="45" t="s">
        <v>111</v>
      </c>
      <c r="B31" s="45" t="s">
        <v>112</v>
      </c>
    </row>
    <row r="32" customFormat="false" ht="15.75" hidden="false" customHeight="true" outlineLevel="0" collapsed="false">
      <c r="A32" s="35" t="s">
        <v>113</v>
      </c>
      <c r="B32" s="35" t="s">
        <v>114</v>
      </c>
    </row>
    <row r="33" customFormat="false" ht="15.75" hidden="false" customHeight="true" outlineLevel="0" collapsed="false">
      <c r="A33" s="45" t="s">
        <v>115</v>
      </c>
      <c r="B33" s="45" t="s">
        <v>116</v>
      </c>
    </row>
    <row r="34" customFormat="false" ht="15.75" hidden="false" customHeight="true" outlineLevel="0" collapsed="false">
      <c r="A34" s="35" t="s">
        <v>117</v>
      </c>
      <c r="B34" s="35" t="s">
        <v>118</v>
      </c>
    </row>
    <row r="35" customFormat="false" ht="15.75" hidden="false" customHeight="true" outlineLevel="0" collapsed="false">
      <c r="A35" s="45" t="s">
        <v>119</v>
      </c>
      <c r="B35" s="45" t="s">
        <v>120</v>
      </c>
    </row>
    <row r="36" customFormat="false" ht="15.75" hidden="false" customHeight="true" outlineLevel="0" collapsed="false">
      <c r="A36" s="35" t="s">
        <v>121</v>
      </c>
      <c r="B36" s="35" t="s">
        <v>122</v>
      </c>
    </row>
    <row r="37" customFormat="false" ht="15.75" hidden="false" customHeight="true" outlineLevel="0" collapsed="false">
      <c r="A37" s="45" t="s">
        <v>123</v>
      </c>
      <c r="B37" s="45" t="s">
        <v>124</v>
      </c>
    </row>
    <row r="38" customFormat="false" ht="15.75" hidden="false" customHeight="true" outlineLevel="0" collapsed="false">
      <c r="A38" s="35"/>
      <c r="B38" s="35"/>
    </row>
    <row r="39" customFormat="false" ht="19.5" hidden="false" customHeight="true" outlineLevel="0" collapsed="false">
      <c r="A39" s="36" t="s">
        <v>125</v>
      </c>
      <c r="B39" s="36"/>
    </row>
    <row r="40" customFormat="false" ht="15.75" hidden="false" customHeight="true" outlineLevel="0" collapsed="false">
      <c r="A40" s="45" t="s">
        <v>126</v>
      </c>
      <c r="B40" s="45" t="s">
        <v>127</v>
      </c>
    </row>
    <row r="41" customFormat="false" ht="15.75" hidden="false" customHeight="true" outlineLevel="0" collapsed="false">
      <c r="A41" s="35" t="s">
        <v>128</v>
      </c>
      <c r="B41" s="35" t="s">
        <v>129</v>
      </c>
    </row>
    <row r="42" customFormat="false" ht="15.75" hidden="false" customHeight="true" outlineLevel="0" collapsed="false">
      <c r="A42" s="45" t="s">
        <v>130</v>
      </c>
      <c r="B42" s="45" t="s">
        <v>131</v>
      </c>
    </row>
    <row r="43" customFormat="false" ht="15.75" hidden="false" customHeight="true" outlineLevel="0" collapsed="false">
      <c r="A43" s="35"/>
      <c r="B43" s="35"/>
    </row>
    <row r="44" customFormat="false" ht="19.5" hidden="false" customHeight="true" outlineLevel="0" collapsed="false">
      <c r="A44" s="36" t="s">
        <v>132</v>
      </c>
      <c r="B44" s="36"/>
    </row>
    <row r="45" customFormat="false" ht="15.75" hidden="false" customHeight="true" outlineLevel="0" collapsed="false">
      <c r="A45" s="45" t="s">
        <v>133</v>
      </c>
      <c r="B45" s="45" t="s">
        <v>134</v>
      </c>
    </row>
    <row r="46" customFormat="false" ht="15.75" hidden="false" customHeight="true" outlineLevel="0" collapsed="false">
      <c r="A46" s="35" t="s">
        <v>135</v>
      </c>
      <c r="B46" s="35" t="s">
        <v>136</v>
      </c>
    </row>
    <row r="47" customFormat="false" ht="15.75" hidden="false" customHeight="true" outlineLevel="0" collapsed="false">
      <c r="A47" s="45" t="s">
        <v>137</v>
      </c>
      <c r="B47" s="4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2026-04-16T15:20:45Z</dcterms:created>
  <dc:creator>openpyxl</dc:creator>
  <dc:description/>
  <dc:language>en-US</dc:language>
  <cp:lastModifiedBy/>
  <dcterms:modified xsi:type="dcterms:W3CDTF">2026-04-16T19:04:28Z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